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BItts\excel\"/>
    </mc:Choice>
  </mc:AlternateContent>
  <xr:revisionPtr revIDLastSave="0" documentId="8_{AFBE0175-D8EA-4620-B889-D46AB31BEA8E}" xr6:coauthVersionLast="47" xr6:coauthVersionMax="47" xr10:uidLastSave="{00000000-0000-0000-0000-000000000000}"/>
  <bookViews>
    <workbookView xWindow="-120" yWindow="-120" windowWidth="20730" windowHeight="11160" xr2:uid="{C9D1E3C7-31AA-4483-A407-184E94042D59}"/>
  </bookViews>
  <sheets>
    <sheet name="Sheet1" sheetId="1" r:id="rId1"/>
    <sheet name="Sheet3" sheetId="3" r:id="rId2"/>
  </sheets>
  <externalReferences>
    <externalReference r:id="rId3"/>
  </externalReferences>
  <definedNames>
    <definedName name="SHIVAM">Sheet1!$B$42:$F$44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1" l="1"/>
  <c r="L47" i="1"/>
  <c r="I47" i="1"/>
  <c r="J47" i="1"/>
  <c r="G51" i="1"/>
  <c r="C52" i="1"/>
  <c r="G48" i="1"/>
  <c r="C48" i="1"/>
  <c r="N14" i="1"/>
  <c r="K29" i="1"/>
  <c r="G32" i="1"/>
  <c r="G29" i="1"/>
  <c r="H7" i="1"/>
  <c r="H7" i="3" s="1"/>
  <c r="H3" i="1"/>
  <c r="H3" i="3" s="1"/>
  <c r="A7" i="1"/>
  <c r="A7" i="3" s="1"/>
  <c r="A3" i="3"/>
  <c r="G8" i="3"/>
  <c r="H8" i="3"/>
  <c r="A1" i="1"/>
  <c r="A1" i="3" s="1"/>
  <c r="B1" i="1"/>
  <c r="B1" i="3" s="1"/>
  <c r="C1" i="1"/>
  <c r="C1" i="3" s="1"/>
  <c r="D1" i="1"/>
  <c r="D1" i="3" s="1"/>
  <c r="E1" i="1"/>
  <c r="E1" i="3" s="1"/>
  <c r="F1" i="1"/>
  <c r="F1" i="3" s="1"/>
  <c r="G1" i="1"/>
  <c r="G1" i="3" s="1"/>
  <c r="H1" i="1"/>
  <c r="H1" i="3" s="1"/>
  <c r="A2" i="1"/>
  <c r="A2" i="3" s="1"/>
  <c r="B2" i="1"/>
  <c r="B2" i="3" s="1"/>
  <c r="C2" i="1"/>
  <c r="C2" i="3" s="1"/>
  <c r="D2" i="1"/>
  <c r="D2" i="3" s="1"/>
  <c r="E2" i="1"/>
  <c r="E2" i="3" s="1"/>
  <c r="F2" i="1"/>
  <c r="F2" i="3" s="1"/>
  <c r="G2" i="1"/>
  <c r="G2" i="3" s="1"/>
  <c r="H2" i="1"/>
  <c r="H2" i="3" s="1"/>
  <c r="B3" i="1"/>
  <c r="B3" i="3" s="1"/>
  <c r="C3" i="1"/>
  <c r="C3" i="3" s="1"/>
  <c r="D3" i="1"/>
  <c r="D3" i="3" s="1"/>
  <c r="E3" i="1"/>
  <c r="E3" i="3" s="1"/>
  <c r="F3" i="1"/>
  <c r="F3" i="3" s="1"/>
  <c r="G3" i="1"/>
  <c r="G3" i="3" s="1"/>
  <c r="A4" i="1"/>
  <c r="A4" i="3" s="1"/>
  <c r="B4" i="1"/>
  <c r="B4" i="3" s="1"/>
  <c r="C4" i="1"/>
  <c r="C4" i="3" s="1"/>
  <c r="D4" i="1"/>
  <c r="D4" i="3" s="1"/>
  <c r="E4" i="1"/>
  <c r="E4" i="3" s="1"/>
  <c r="F4" i="1"/>
  <c r="F4" i="3" s="1"/>
  <c r="G4" i="1"/>
  <c r="G4" i="3" s="1"/>
  <c r="H4" i="1"/>
  <c r="H4" i="3" s="1"/>
  <c r="A5" i="1"/>
  <c r="A5" i="3" s="1"/>
  <c r="B5" i="1"/>
  <c r="B5" i="3" s="1"/>
  <c r="C5" i="1"/>
  <c r="C5" i="3" s="1"/>
  <c r="D5" i="1"/>
  <c r="D5" i="3" s="1"/>
  <c r="E5" i="1"/>
  <c r="E5" i="3" s="1"/>
  <c r="F5" i="1"/>
  <c r="F5" i="3" s="1"/>
  <c r="G5" i="1"/>
  <c r="G5" i="3" s="1"/>
  <c r="H5" i="1"/>
  <c r="H5" i="3" s="1"/>
  <c r="A6" i="1"/>
  <c r="A6" i="3" s="1"/>
  <c r="B6" i="1"/>
  <c r="B6" i="3" s="1"/>
  <c r="C6" i="1"/>
  <c r="C6" i="3" s="1"/>
  <c r="D6" i="1"/>
  <c r="D6" i="3" s="1"/>
  <c r="E6" i="1"/>
  <c r="E6" i="3" s="1"/>
  <c r="F6" i="1"/>
  <c r="F6" i="3" s="1"/>
  <c r="G6" i="1"/>
  <c r="G6" i="3" s="1"/>
  <c r="H6" i="1"/>
  <c r="H6" i="3" s="1"/>
  <c r="B7" i="1"/>
  <c r="B7" i="3" s="1"/>
  <c r="C7" i="1"/>
  <c r="C7" i="3" s="1"/>
  <c r="D7" i="1"/>
  <c r="D7" i="3" s="1"/>
  <c r="E7" i="1"/>
  <c r="E7" i="3" s="1"/>
  <c r="F7" i="1"/>
  <c r="F7" i="3" s="1"/>
  <c r="G7" i="1"/>
  <c r="G7" i="3" s="1"/>
  <c r="A8" i="1"/>
  <c r="A8" i="3" s="1"/>
  <c r="B8" i="1"/>
  <c r="B8" i="3" s="1"/>
  <c r="C8" i="1"/>
  <c r="C8" i="3" s="1"/>
  <c r="D8" i="1"/>
  <c r="D8" i="3" s="1"/>
  <c r="E8" i="1"/>
  <c r="E8" i="3" s="1"/>
  <c r="F8" i="1"/>
  <c r="F8" i="3" s="1"/>
  <c r="A9" i="1"/>
  <c r="A9" i="3" s="1"/>
  <c r="B9" i="1"/>
  <c r="B9" i="3" s="1"/>
  <c r="C9" i="1"/>
  <c r="C9" i="3" s="1"/>
  <c r="D9" i="1"/>
  <c r="D9" i="3" s="1"/>
  <c r="E9" i="1"/>
  <c r="E9" i="3" s="1"/>
  <c r="F9" i="1"/>
  <c r="F9" i="3" s="1"/>
  <c r="G9" i="1"/>
  <c r="G9" i="3" s="1"/>
  <c r="H9" i="1"/>
  <c r="H9" i="3" s="1"/>
  <c r="A10" i="1"/>
  <c r="A10" i="3" s="1"/>
  <c r="B10" i="1"/>
  <c r="B10" i="3" s="1"/>
  <c r="C10" i="1"/>
  <c r="C10" i="3" s="1"/>
  <c r="D10" i="1"/>
  <c r="D10" i="3" s="1"/>
  <c r="E10" i="1"/>
  <c r="E10" i="3" s="1"/>
  <c r="F10" i="1"/>
  <c r="F10" i="3" s="1"/>
  <c r="G10" i="1"/>
  <c r="G10" i="3" s="1"/>
  <c r="H10" i="1"/>
  <c r="H10" i="3" s="1"/>
  <c r="A11" i="1"/>
  <c r="A11" i="3" s="1"/>
  <c r="B11" i="1"/>
  <c r="B11" i="3" s="1"/>
  <c r="C11" i="1"/>
  <c r="C11" i="3" s="1"/>
  <c r="D11" i="1"/>
  <c r="D11" i="3" s="1"/>
  <c r="E11" i="1"/>
  <c r="E11" i="3" s="1"/>
  <c r="F11" i="1"/>
  <c r="F11" i="3" s="1"/>
  <c r="G11" i="1"/>
  <c r="G11" i="3" s="1"/>
  <c r="H11" i="1"/>
  <c r="H11" i="3" s="1"/>
  <c r="A12" i="1"/>
  <c r="A12" i="3" s="1"/>
  <c r="B12" i="1"/>
  <c r="B12" i="3" s="1"/>
  <c r="C12" i="1"/>
  <c r="C12" i="3" s="1"/>
  <c r="D12" i="1"/>
  <c r="D12" i="3" s="1"/>
  <c r="E12" i="1"/>
  <c r="E12" i="3" s="1"/>
  <c r="F12" i="1"/>
  <c r="F12" i="3" s="1"/>
  <c r="G12" i="1"/>
  <c r="G12" i="3" s="1"/>
  <c r="H12" i="1"/>
  <c r="H12" i="3" s="1"/>
  <c r="A13" i="1"/>
  <c r="A13" i="3" s="1"/>
  <c r="B13" i="1"/>
  <c r="B13" i="3" s="1"/>
  <c r="C13" i="1"/>
  <c r="C13" i="3" s="1"/>
  <c r="D13" i="1"/>
  <c r="D13" i="3" s="1"/>
  <c r="E13" i="1"/>
  <c r="E13" i="3" s="1"/>
  <c r="F13" i="1"/>
  <c r="F13" i="3" s="1"/>
  <c r="G13" i="1"/>
  <c r="G13" i="3" s="1"/>
  <c r="H13" i="1"/>
  <c r="H13" i="3" s="1"/>
</calcChain>
</file>

<file path=xl/sharedStrings.xml><?xml version="1.0" encoding="utf-8"?>
<sst xmlns="http://schemas.openxmlformats.org/spreadsheetml/2006/main" count="143" uniqueCount="84">
  <si>
    <t>MARKS</t>
  </si>
  <si>
    <t>sr.no</t>
  </si>
  <si>
    <t>NAME OF STUDENT</t>
  </si>
  <si>
    <t>MOBILE&gt;NO</t>
  </si>
  <si>
    <t>EMAIL ID</t>
  </si>
  <si>
    <t>QUALFICATION</t>
  </si>
  <si>
    <t>STATUS</t>
  </si>
  <si>
    <t>COURSE</t>
  </si>
  <si>
    <t>DEEPIKA</t>
  </si>
  <si>
    <t>DEEPIKA@GMAIL.COM</t>
  </si>
  <si>
    <t>MBA</t>
  </si>
  <si>
    <t>NEW</t>
  </si>
  <si>
    <t>TALLY</t>
  </si>
  <si>
    <t>YY</t>
  </si>
  <si>
    <t>ADRESH KUMAR</t>
  </si>
  <si>
    <t>ADRESH KUMAR@GMAIL.COM</t>
  </si>
  <si>
    <t>BBA PURSING</t>
  </si>
  <si>
    <t>OLD</t>
  </si>
  <si>
    <t>ANIL KUMAR</t>
  </si>
  <si>
    <t>ANIL KUMAR@GMAIL.COM</t>
  </si>
  <si>
    <t>MCOM</t>
  </si>
  <si>
    <t>TANVI</t>
  </si>
  <si>
    <t>TANVI@GMAIL.COM</t>
  </si>
  <si>
    <t>TARUN</t>
  </si>
  <si>
    <t>TARUN@GMAIL.COM</t>
  </si>
  <si>
    <t>10+2</t>
  </si>
  <si>
    <t xml:space="preserve">NEERU SHARMA </t>
  </si>
  <si>
    <t>NEERU SHARMA@GMAIL.COM</t>
  </si>
  <si>
    <t>AKANSHA</t>
  </si>
  <si>
    <t>AKANSHA@GMAIL.COM</t>
  </si>
  <si>
    <t>BCOM BED</t>
  </si>
  <si>
    <t>BCA</t>
  </si>
  <si>
    <t>MANJOT SINGH</t>
  </si>
  <si>
    <t>MANJOT SINGH@GMAIL.COM</t>
  </si>
  <si>
    <t>BSE.MED,MBA,BCOM</t>
  </si>
  <si>
    <t>QUICK BOOK</t>
  </si>
  <si>
    <t>MONIKA</t>
  </si>
  <si>
    <t>MONIKA@GMAIL.COM</t>
  </si>
  <si>
    <t>10+2 MED</t>
  </si>
  <si>
    <t>CHIRAG SHARMA</t>
  </si>
  <si>
    <t>CHIRAG SHARMA@GMAIL.COM</t>
  </si>
  <si>
    <t>10+2 ART</t>
  </si>
  <si>
    <t>PARMINDER KAUR</t>
  </si>
  <si>
    <t>PARMINDER KAUR@GMAIL.COM</t>
  </si>
  <si>
    <t>BA MBA PUR</t>
  </si>
  <si>
    <t>AKSHIT AGNIHOTRI</t>
  </si>
  <si>
    <t>AKSHIT AGNIHOTRI@GMAIL.COM</t>
  </si>
  <si>
    <t>ca</t>
  </si>
  <si>
    <t>sub without formula</t>
  </si>
  <si>
    <t>mul without formula</t>
  </si>
  <si>
    <t>add without formula</t>
  </si>
  <si>
    <t>div without formula</t>
  </si>
  <si>
    <t>to do airthmatic oprration without formula we select the operant and copy it thenselect the all cel where you want to perform opertaion click on  paste, paste special, add, sub etc</t>
  </si>
  <si>
    <t>location</t>
  </si>
  <si>
    <t>chandigarh</t>
  </si>
  <si>
    <t>dharamshala</t>
  </si>
  <si>
    <t>jadrangal</t>
  </si>
  <si>
    <t>LOCATION</t>
  </si>
  <si>
    <t>CHANDIGARH</t>
  </si>
  <si>
    <t>DHARAMSHALA</t>
  </si>
  <si>
    <t>RANITAL</t>
  </si>
  <si>
    <t>YOL</t>
  </si>
  <si>
    <t>SHIMLA</t>
  </si>
  <si>
    <t>DELHI</t>
  </si>
  <si>
    <t>AMBLA</t>
  </si>
  <si>
    <t>MOHALI</t>
  </si>
  <si>
    <t>KANGRA</t>
  </si>
  <si>
    <t>Dataset</t>
  </si>
  <si>
    <t>row\col</t>
  </si>
  <si>
    <t>B1</t>
  </si>
  <si>
    <t>C1</t>
  </si>
  <si>
    <t>D1</t>
  </si>
  <si>
    <t>E1</t>
  </si>
  <si>
    <t>F1</t>
  </si>
  <si>
    <t>ID</t>
  </si>
  <si>
    <t>PEODUCT</t>
  </si>
  <si>
    <t>PRICE</t>
  </si>
  <si>
    <t>LAPTOP</t>
  </si>
  <si>
    <t>MOBILE</t>
  </si>
  <si>
    <t>TABLE</t>
  </si>
  <si>
    <t>PRINTER</t>
  </si>
  <si>
    <t>max in HLOOKUP</t>
  </si>
  <si>
    <t>MIN IN HLOOKUP</t>
  </si>
  <si>
    <t>2ND LAGRGEST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</si>
</sst>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LOOKUP%20FUN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MARKS</v>
          </cell>
          <cell r="B2" t="str">
            <v>sr.no</v>
          </cell>
          <cell r="C2" t="str">
            <v>NAME OF STUDENT</v>
          </cell>
          <cell r="D2" t="str">
            <v>MOBILE&gt;NO</v>
          </cell>
          <cell r="E2" t="str">
            <v>EMAIL ID</v>
          </cell>
          <cell r="F2" t="str">
            <v>QUALFICATION</v>
          </cell>
          <cell r="G2" t="str">
            <v>STATUS</v>
          </cell>
          <cell r="H2" t="str">
            <v>COURSE</v>
          </cell>
        </row>
        <row r="3">
          <cell r="A3">
            <v>56</v>
          </cell>
          <cell r="B3">
            <v>1</v>
          </cell>
          <cell r="C3" t="str">
            <v>DEEPIKA</v>
          </cell>
          <cell r="D3">
            <v>9884567845</v>
          </cell>
          <cell r="E3" t="str">
            <v>DEEPIKA@GMAIL.COM</v>
          </cell>
          <cell r="F3" t="str">
            <v>MBA</v>
          </cell>
          <cell r="G3" t="str">
            <v>NEW</v>
          </cell>
          <cell r="H3" t="str">
            <v>TALLY</v>
          </cell>
        </row>
        <row r="4">
          <cell r="B4">
            <v>2</v>
          </cell>
          <cell r="C4" t="str">
            <v>ADRESH KUMAR</v>
          </cell>
          <cell r="D4">
            <v>9884567895</v>
          </cell>
          <cell r="E4" t="str">
            <v>ADRESH KUMAR@GMAIL.COM</v>
          </cell>
          <cell r="F4" t="str">
            <v>BBA PURSING</v>
          </cell>
          <cell r="G4" t="str">
            <v>OLD</v>
          </cell>
          <cell r="H4" t="str">
            <v>TALLY</v>
          </cell>
        </row>
        <row r="5">
          <cell r="A5">
            <v>7</v>
          </cell>
          <cell r="B5">
            <v>3</v>
          </cell>
          <cell r="C5" t="str">
            <v>ANIL KUMAR</v>
          </cell>
          <cell r="D5">
            <v>9884567945</v>
          </cell>
          <cell r="E5" t="str">
            <v>ANIL KUMAR@GMAIL.COM</v>
          </cell>
          <cell r="F5" t="str">
            <v>MCOM</v>
          </cell>
          <cell r="G5" t="str">
            <v>OLD</v>
          </cell>
          <cell r="H5" t="str">
            <v>TALLY</v>
          </cell>
        </row>
        <row r="6">
          <cell r="A6">
            <v>78</v>
          </cell>
          <cell r="B6">
            <v>4</v>
          </cell>
          <cell r="C6" t="str">
            <v>TANVI</v>
          </cell>
          <cell r="D6">
            <v>9884567995</v>
          </cell>
          <cell r="E6" t="str">
            <v>TANVI@GMAIL.COM</v>
          </cell>
          <cell r="F6" t="str">
            <v>MBA</v>
          </cell>
          <cell r="G6" t="str">
            <v>NEW</v>
          </cell>
          <cell r="H6" t="str">
            <v>TALLY</v>
          </cell>
        </row>
        <row r="7">
          <cell r="A7">
            <v>5</v>
          </cell>
          <cell r="B7">
            <v>5</v>
          </cell>
          <cell r="C7" t="str">
            <v>TARUN</v>
          </cell>
          <cell r="D7">
            <v>9884568045</v>
          </cell>
          <cell r="E7" t="str">
            <v>TARUN@GMAIL.COM</v>
          </cell>
          <cell r="F7" t="str">
            <v>10+2</v>
          </cell>
          <cell r="G7" t="str">
            <v>NEW</v>
          </cell>
          <cell r="H7" t="str">
            <v>TALLY</v>
          </cell>
        </row>
        <row r="8">
          <cell r="A8">
            <v>5</v>
          </cell>
          <cell r="B8">
            <v>6</v>
          </cell>
          <cell r="C8" t="str">
            <v xml:space="preserve">NEERU SHARMA </v>
          </cell>
          <cell r="D8">
            <v>9884568095</v>
          </cell>
          <cell r="E8" t="str">
            <v>NEERU SHARMA@GMAIL.COM</v>
          </cell>
          <cell r="F8" t="str">
            <v>MBA</v>
          </cell>
          <cell r="G8" t="str">
            <v>NEW</v>
          </cell>
          <cell r="H8" t="str">
            <v>TALLY</v>
          </cell>
        </row>
        <row r="9">
          <cell r="A9">
            <v>98</v>
          </cell>
          <cell r="B9">
            <v>7</v>
          </cell>
          <cell r="C9" t="str">
            <v>AKANSHA</v>
          </cell>
          <cell r="D9">
            <v>9884568145</v>
          </cell>
          <cell r="E9" t="str">
            <v>AKANSHA@GMAIL.COM</v>
          </cell>
          <cell r="F9" t="str">
            <v>BCOM BED</v>
          </cell>
        </row>
        <row r="10">
          <cell r="A10">
            <v>5</v>
          </cell>
          <cell r="B10">
            <v>8</v>
          </cell>
          <cell r="C10" t="str">
            <v>MANJOT SINGH</v>
          </cell>
          <cell r="D10">
            <v>9884568195</v>
          </cell>
          <cell r="E10" t="str">
            <v>MANJOT SINGH@GMAIL.COM</v>
          </cell>
          <cell r="F10" t="str">
            <v>BSE.MED,MBA,BCOM</v>
          </cell>
          <cell r="G10" t="str">
            <v>NEW</v>
          </cell>
          <cell r="H10" t="str">
            <v>QUICK BOOK</v>
          </cell>
        </row>
        <row r="11">
          <cell r="A11">
            <v>54</v>
          </cell>
          <cell r="B11">
            <v>9</v>
          </cell>
          <cell r="C11" t="str">
            <v>MONIKA</v>
          </cell>
          <cell r="D11">
            <v>9884568245</v>
          </cell>
          <cell r="E11" t="str">
            <v>MONIKA@GMAIL.COM</v>
          </cell>
          <cell r="F11" t="str">
            <v>10+2 MED</v>
          </cell>
          <cell r="G11" t="str">
            <v>NEW</v>
          </cell>
          <cell r="H11" t="str">
            <v>TALLY</v>
          </cell>
        </row>
        <row r="12">
          <cell r="A12">
            <v>2</v>
          </cell>
          <cell r="B12">
            <v>10</v>
          </cell>
          <cell r="C12" t="str">
            <v>CHIRAG SHARMA</v>
          </cell>
          <cell r="D12">
            <v>9884568295</v>
          </cell>
          <cell r="E12" t="str">
            <v>CHIRAG SHARMA@GMAIL.COM</v>
          </cell>
          <cell r="F12" t="str">
            <v>10+2 ART</v>
          </cell>
          <cell r="G12" t="str">
            <v>NEW</v>
          </cell>
          <cell r="H12" t="str">
            <v>TALLY</v>
          </cell>
        </row>
        <row r="13">
          <cell r="A13">
            <v>5</v>
          </cell>
          <cell r="B13">
            <v>11</v>
          </cell>
          <cell r="C13" t="str">
            <v>PARMINDER KAUR</v>
          </cell>
          <cell r="D13">
            <v>9884568345</v>
          </cell>
          <cell r="E13" t="str">
            <v>PARMINDER KAUR@GMAIL.COM</v>
          </cell>
          <cell r="F13" t="str">
            <v>BA MBA PUR</v>
          </cell>
          <cell r="G13" t="str">
            <v>NEW</v>
          </cell>
          <cell r="H13" t="str">
            <v>TALLY</v>
          </cell>
        </row>
        <row r="14">
          <cell r="A14">
            <v>45</v>
          </cell>
          <cell r="B14">
            <v>12</v>
          </cell>
          <cell r="C14" t="str">
            <v>AKSHIT AGNIHOTRI</v>
          </cell>
          <cell r="D14">
            <v>9884568395</v>
          </cell>
          <cell r="E14" t="str">
            <v>AKSHIT AGNIHOTRI@GMAIL.COM</v>
          </cell>
          <cell r="G14" t="str">
            <v>OLD</v>
          </cell>
          <cell r="H14" t="str">
            <v>TALLY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RUN@GMAIL.COM" TargetMode="External"/><Relationship Id="rId3" Type="http://schemas.openxmlformats.org/officeDocument/2006/relationships/hyperlink" Target="mailto:TANVI@GMAIL.COM" TargetMode="External"/><Relationship Id="rId7" Type="http://schemas.openxmlformats.org/officeDocument/2006/relationships/hyperlink" Target="mailto:TANVI@GMAIL.COM" TargetMode="External"/><Relationship Id="rId2" Type="http://schemas.openxmlformats.org/officeDocument/2006/relationships/hyperlink" Target="mailto:DEEPIKA@GMAIL.COM" TargetMode="External"/><Relationship Id="rId1" Type="http://schemas.openxmlformats.org/officeDocument/2006/relationships/hyperlink" Target="mailto:MONIKA@GMAIL.COM" TargetMode="External"/><Relationship Id="rId6" Type="http://schemas.openxmlformats.org/officeDocument/2006/relationships/hyperlink" Target="mailto:DEEPIKA@GMAIL.COM" TargetMode="External"/><Relationship Id="rId5" Type="http://schemas.openxmlformats.org/officeDocument/2006/relationships/hyperlink" Target="mailto:AKANSHA@GMAIL.COM" TargetMode="External"/><Relationship Id="rId10" Type="http://schemas.openxmlformats.org/officeDocument/2006/relationships/hyperlink" Target="mailto:MONIKA@GMAIL.COM" TargetMode="External"/><Relationship Id="rId4" Type="http://schemas.openxmlformats.org/officeDocument/2006/relationships/hyperlink" Target="mailto:TARUN@GMAIL.COM" TargetMode="External"/><Relationship Id="rId9" Type="http://schemas.openxmlformats.org/officeDocument/2006/relationships/hyperlink" Target="mailto:AKANSH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45CB-7BBF-48F5-B131-F8F24B56598F}">
  <dimension ref="A1:R52"/>
  <sheetViews>
    <sheetView tabSelected="1" topLeftCell="A35" workbookViewId="0">
      <selection activeCell="I52" sqref="I52"/>
    </sheetView>
  </sheetViews>
  <sheetFormatPr defaultRowHeight="15" x14ac:dyDescent="0.25"/>
  <sheetData>
    <row r="1" spans="1:14" x14ac:dyDescent="0.25">
      <c r="A1" s="1" t="str">
        <f>[1]Sheet1!A2</f>
        <v>MARKS</v>
      </c>
      <c r="B1" s="1" t="str">
        <f>[1]Sheet1!B2</f>
        <v>sr.no</v>
      </c>
      <c r="C1" s="1" t="str">
        <f>[1]Sheet1!C2</f>
        <v>NAME OF STUDENT</v>
      </c>
      <c r="D1" s="1" t="str">
        <f>[1]Sheet1!D2</f>
        <v>MOBILE&gt;NO</v>
      </c>
      <c r="E1" s="1" t="str">
        <f>[1]Sheet1!E2</f>
        <v>EMAIL ID</v>
      </c>
      <c r="F1" s="1" t="str">
        <f>[1]Sheet1!F2</f>
        <v>QUALFICATION</v>
      </c>
      <c r="G1" s="1" t="str">
        <f>[1]Sheet1!G2</f>
        <v>STATUS</v>
      </c>
      <c r="H1" s="1" t="str">
        <f>[1]Sheet1!H2</f>
        <v>COURSE</v>
      </c>
    </row>
    <row r="2" spans="1:14" x14ac:dyDescent="0.25">
      <c r="A2">
        <f>[1]Sheet1!A3</f>
        <v>56</v>
      </c>
      <c r="B2">
        <f>[1]Sheet1!B3</f>
        <v>1</v>
      </c>
      <c r="C2" t="str">
        <f>[1]Sheet1!C3</f>
        <v>DEEPIKA</v>
      </c>
      <c r="D2">
        <f>[1]Sheet1!D3</f>
        <v>9884567845</v>
      </c>
      <c r="E2" s="2" t="str">
        <f>[1]Sheet1!E3</f>
        <v>DEEPIKA@GMAIL.COM</v>
      </c>
      <c r="F2" t="str">
        <f>[1]Sheet1!F3</f>
        <v>MBA</v>
      </c>
      <c r="G2" t="str">
        <f>[1]Sheet1!G3</f>
        <v>NEW</v>
      </c>
      <c r="H2" t="str">
        <f>[1]Sheet1!H3</f>
        <v>TALLY</v>
      </c>
    </row>
    <row r="3" spans="1:14" ht="60" x14ac:dyDescent="0.25">
      <c r="A3" s="3">
        <v>86</v>
      </c>
      <c r="B3" s="3">
        <f>[1]Sheet1!B4</f>
        <v>2</v>
      </c>
      <c r="C3" s="3" t="str">
        <f>[1]Sheet1!C4</f>
        <v>ADRESH KUMAR</v>
      </c>
      <c r="D3" s="3">
        <f>[1]Sheet1!D4</f>
        <v>9884567895</v>
      </c>
      <c r="E3" s="4" t="str">
        <f>[1]Sheet1!E4</f>
        <v>ADRESH KUMAR@GMAIL.COM</v>
      </c>
      <c r="F3" s="3" t="str">
        <f>[1]Sheet1!F4</f>
        <v>BBA PURSING</v>
      </c>
      <c r="G3" s="3" t="str">
        <f>[1]Sheet1!G4</f>
        <v>OLD</v>
      </c>
      <c r="H3" s="3" t="str">
        <f>[1]Sheet1!H4</f>
        <v>TALLY</v>
      </c>
    </row>
    <row r="4" spans="1:14" x14ac:dyDescent="0.25">
      <c r="A4">
        <f>[1]Sheet1!A5</f>
        <v>7</v>
      </c>
      <c r="B4">
        <f>[1]Sheet1!B5</f>
        <v>3</v>
      </c>
      <c r="C4" t="str">
        <f>[1]Sheet1!C5</f>
        <v>ANIL KUMAR</v>
      </c>
      <c r="D4">
        <f>[1]Sheet1!D5</f>
        <v>9884567945</v>
      </c>
      <c r="E4" s="2" t="str">
        <f>[1]Sheet1!E5</f>
        <v>ANIL KUMAR@GMAIL.COM</v>
      </c>
      <c r="F4" t="str">
        <f>[1]Sheet1!F5</f>
        <v>MCOM</v>
      </c>
      <c r="G4" t="str">
        <f>[1]Sheet1!G5</f>
        <v>OLD</v>
      </c>
      <c r="H4" t="str">
        <f>[1]Sheet1!H5</f>
        <v>TALLY</v>
      </c>
    </row>
    <row r="5" spans="1:14" x14ac:dyDescent="0.25">
      <c r="A5">
        <f>[1]Sheet1!A6</f>
        <v>78</v>
      </c>
      <c r="B5">
        <f>[1]Sheet1!B6</f>
        <v>4</v>
      </c>
      <c r="C5" t="str">
        <f>[1]Sheet1!C6</f>
        <v>TANVI</v>
      </c>
      <c r="D5">
        <f>[1]Sheet1!D6</f>
        <v>9884567995</v>
      </c>
      <c r="E5" s="2" t="str">
        <f>[1]Sheet1!E6</f>
        <v>TANVI@GMAIL.COM</v>
      </c>
      <c r="F5" t="str">
        <f>[1]Sheet1!F6</f>
        <v>MBA</v>
      </c>
      <c r="G5" t="str">
        <f>[1]Sheet1!G6</f>
        <v>NEW</v>
      </c>
      <c r="H5" t="str">
        <f>[1]Sheet1!H6</f>
        <v>TALLY</v>
      </c>
    </row>
    <row r="6" spans="1:14" x14ac:dyDescent="0.25">
      <c r="A6">
        <f>[1]Sheet1!A7</f>
        <v>5</v>
      </c>
      <c r="B6">
        <f>[1]Sheet1!B7</f>
        <v>5</v>
      </c>
      <c r="C6" t="str">
        <f>[1]Sheet1!C7</f>
        <v>TARUN</v>
      </c>
      <c r="D6">
        <f>[1]Sheet1!D7</f>
        <v>9884568045</v>
      </c>
      <c r="E6" s="2" t="str">
        <f>[1]Sheet1!E7</f>
        <v>TARUN@GMAIL.COM</v>
      </c>
      <c r="F6" t="str">
        <f>[1]Sheet1!F7</f>
        <v>10+2</v>
      </c>
      <c r="G6" t="str">
        <f>[1]Sheet1!G7</f>
        <v>NEW</v>
      </c>
      <c r="H6" t="str">
        <f>[1]Sheet1!H7</f>
        <v>TALLY</v>
      </c>
    </row>
    <row r="7" spans="1:14" x14ac:dyDescent="0.25">
      <c r="A7">
        <f>[1]Sheet1!A8</f>
        <v>5</v>
      </c>
      <c r="B7">
        <f>[1]Sheet1!B8</f>
        <v>6</v>
      </c>
      <c r="C7" t="str">
        <f>[1]Sheet1!C8</f>
        <v xml:space="preserve">NEERU SHARMA </v>
      </c>
      <c r="D7">
        <f>[1]Sheet1!D8</f>
        <v>9884568095</v>
      </c>
      <c r="E7" s="2" t="str">
        <f>[1]Sheet1!E8</f>
        <v>NEERU SHARMA@GMAIL.COM</v>
      </c>
      <c r="F7" t="str">
        <f>[1]Sheet1!F8</f>
        <v>MBA</v>
      </c>
      <c r="G7" t="str">
        <f>[1]Sheet1!G8</f>
        <v>NEW</v>
      </c>
      <c r="H7" t="str">
        <f>[1]Sheet1!H8</f>
        <v>TALLY</v>
      </c>
    </row>
    <row r="8" spans="1:14" x14ac:dyDescent="0.25">
      <c r="A8">
        <f>[1]Sheet1!A9</f>
        <v>98</v>
      </c>
      <c r="B8">
        <f>[1]Sheet1!B9</f>
        <v>7</v>
      </c>
      <c r="C8" t="str">
        <f>[1]Sheet1!C9</f>
        <v>AKANSHA</v>
      </c>
      <c r="D8">
        <f>[1]Sheet1!D9</f>
        <v>9884568145</v>
      </c>
      <c r="E8" s="2" t="str">
        <f>[1]Sheet1!E9</f>
        <v>AKANSHA@GMAIL.COM</v>
      </c>
      <c r="F8" t="str">
        <f>[1]Sheet1!F9</f>
        <v>BCOM BED</v>
      </c>
      <c r="G8" t="s">
        <v>47</v>
      </c>
    </row>
    <row r="9" spans="1:14" x14ac:dyDescent="0.25">
      <c r="A9">
        <f>[1]Sheet1!A10</f>
        <v>5</v>
      </c>
      <c r="B9">
        <f>[1]Sheet1!B10</f>
        <v>8</v>
      </c>
      <c r="C9" t="str">
        <f>[1]Sheet1!C10</f>
        <v>MANJOT SINGH</v>
      </c>
      <c r="D9">
        <f>[1]Sheet1!D10</f>
        <v>9884568195</v>
      </c>
      <c r="E9" s="2" t="str">
        <f>[1]Sheet1!E10</f>
        <v>MANJOT SINGH@GMAIL.COM</v>
      </c>
      <c r="F9" t="str">
        <f>[1]Sheet1!F10</f>
        <v>BSE.MED,MBA,BCOM</v>
      </c>
      <c r="G9" t="str">
        <f>[1]Sheet1!G10</f>
        <v>NEW</v>
      </c>
      <c r="H9" t="str">
        <f>[1]Sheet1!H10</f>
        <v>QUICK BOOK</v>
      </c>
    </row>
    <row r="10" spans="1:14" x14ac:dyDescent="0.25">
      <c r="A10">
        <f>[1]Sheet1!A11</f>
        <v>54</v>
      </c>
      <c r="B10">
        <f>[1]Sheet1!B11</f>
        <v>9</v>
      </c>
      <c r="C10" t="str">
        <f>[1]Sheet1!C11</f>
        <v>MONIKA</v>
      </c>
      <c r="D10">
        <f>[1]Sheet1!D11</f>
        <v>9884568245</v>
      </c>
      <c r="E10" s="2" t="str">
        <f>[1]Sheet1!E11</f>
        <v>MONIKA@GMAIL.COM</v>
      </c>
      <c r="F10" t="str">
        <f>[1]Sheet1!F11</f>
        <v>10+2 MED</v>
      </c>
      <c r="G10" t="str">
        <f>[1]Sheet1!G11</f>
        <v>NEW</v>
      </c>
      <c r="H10" t="str">
        <f>[1]Sheet1!H11</f>
        <v>TALLY</v>
      </c>
    </row>
    <row r="11" spans="1:14" x14ac:dyDescent="0.25">
      <c r="A11">
        <f>[1]Sheet1!A12</f>
        <v>2</v>
      </c>
      <c r="B11">
        <f>[1]Sheet1!B12</f>
        <v>10</v>
      </c>
      <c r="C11" t="str">
        <f>[1]Sheet1!C12</f>
        <v>CHIRAG SHARMA</v>
      </c>
      <c r="D11">
        <f>[1]Sheet1!D12</f>
        <v>9884568295</v>
      </c>
      <c r="E11" s="2" t="str">
        <f>[1]Sheet1!E12</f>
        <v>CHIRAG SHARMA@GMAIL.COM</v>
      </c>
      <c r="F11" t="str">
        <f>[1]Sheet1!F12</f>
        <v>10+2 ART</v>
      </c>
      <c r="G11" t="str">
        <f>[1]Sheet1!G12</f>
        <v>NEW</v>
      </c>
      <c r="H11" t="str">
        <f>[1]Sheet1!H12</f>
        <v>TALLY</v>
      </c>
    </row>
    <row r="12" spans="1:14" x14ac:dyDescent="0.25">
      <c r="A12">
        <f>[1]Sheet1!A13</f>
        <v>5</v>
      </c>
      <c r="B12">
        <f>[1]Sheet1!B13</f>
        <v>11</v>
      </c>
      <c r="C12" t="str">
        <f>[1]Sheet1!C13</f>
        <v>PARMINDER KAUR</v>
      </c>
      <c r="D12">
        <f>[1]Sheet1!D13</f>
        <v>9884568345</v>
      </c>
      <c r="E12" s="2" t="str">
        <f>[1]Sheet1!E13</f>
        <v>PARMINDER KAUR@GMAIL.COM</v>
      </c>
      <c r="F12" t="str">
        <f>[1]Sheet1!F13</f>
        <v>BA MBA PUR</v>
      </c>
      <c r="G12" t="str">
        <f>[1]Sheet1!G13</f>
        <v>NEW</v>
      </c>
      <c r="H12" t="str">
        <f>[1]Sheet1!H13</f>
        <v>TALLY</v>
      </c>
    </row>
    <row r="13" spans="1:14" x14ac:dyDescent="0.25">
      <c r="A13">
        <f>[1]Sheet1!A14</f>
        <v>45</v>
      </c>
      <c r="B13">
        <f>[1]Sheet1!B14</f>
        <v>12</v>
      </c>
      <c r="C13" t="str">
        <f>[1]Sheet1!C14</f>
        <v>AKSHIT AGNIHOTRI</v>
      </c>
      <c r="D13">
        <f>[1]Sheet1!D14</f>
        <v>9884568395</v>
      </c>
      <c r="E13" s="2" t="str">
        <f>[1]Sheet1!E14</f>
        <v>AKSHIT AGNIHOTRI@GMAIL.COM</v>
      </c>
      <c r="F13">
        <f>[1]Sheet1!F14</f>
        <v>0</v>
      </c>
      <c r="G13" t="str">
        <f>[1]Sheet1!G14</f>
        <v>OLD</v>
      </c>
      <c r="H13" t="str">
        <f>[1]Sheet1!H14</f>
        <v>TALLY</v>
      </c>
      <c r="M13" s="1" t="s">
        <v>1</v>
      </c>
      <c r="N13">
        <v>5</v>
      </c>
    </row>
    <row r="14" spans="1:14" x14ac:dyDescent="0.25">
      <c r="M14" t="s">
        <v>57</v>
      </c>
      <c r="N14" t="str">
        <f>HLOOKUP(HLOOKUP(N13,E19:Q25,1,0),E33:Q35,3,0)</f>
        <v>SHIMLA</v>
      </c>
    </row>
    <row r="18" spans="1:17" x14ac:dyDescent="0.25">
      <c r="E18" s="1" t="s">
        <v>0</v>
      </c>
      <c r="F18">
        <v>56</v>
      </c>
      <c r="G18" s="3" t="s">
        <v>13</v>
      </c>
      <c r="H18">
        <v>7</v>
      </c>
      <c r="I18">
        <v>78</v>
      </c>
      <c r="J18">
        <v>5</v>
      </c>
      <c r="K18">
        <v>5</v>
      </c>
      <c r="L18">
        <v>98</v>
      </c>
      <c r="M18">
        <v>5</v>
      </c>
      <c r="N18">
        <v>54</v>
      </c>
      <c r="O18">
        <v>2</v>
      </c>
      <c r="P18">
        <v>5</v>
      </c>
      <c r="Q18">
        <v>45</v>
      </c>
    </row>
    <row r="19" spans="1:17" x14ac:dyDescent="0.25">
      <c r="A19" t="s">
        <v>53</v>
      </c>
      <c r="E19" s="1" t="s">
        <v>1</v>
      </c>
      <c r="F19">
        <v>1</v>
      </c>
      <c r="G19" s="3">
        <v>2</v>
      </c>
      <c r="H19">
        <v>3</v>
      </c>
      <c r="I19">
        <v>4</v>
      </c>
      <c r="J19">
        <v>5</v>
      </c>
      <c r="K19">
        <v>6</v>
      </c>
      <c r="L19">
        <v>7</v>
      </c>
      <c r="M19">
        <v>8</v>
      </c>
      <c r="N19">
        <v>9</v>
      </c>
      <c r="O19">
        <v>10</v>
      </c>
      <c r="P19">
        <v>11</v>
      </c>
      <c r="Q19">
        <v>12</v>
      </c>
    </row>
    <row r="20" spans="1:17" ht="30" x14ac:dyDescent="0.25">
      <c r="A20" t="s">
        <v>54</v>
      </c>
      <c r="E20" s="1" t="s">
        <v>2</v>
      </c>
      <c r="F20" t="s">
        <v>8</v>
      </c>
      <c r="G20" s="3" t="s">
        <v>14</v>
      </c>
      <c r="H20" t="s">
        <v>18</v>
      </c>
      <c r="I20" t="s">
        <v>21</v>
      </c>
      <c r="J20" t="s">
        <v>23</v>
      </c>
      <c r="K20" t="s">
        <v>26</v>
      </c>
      <c r="L20" t="s">
        <v>28</v>
      </c>
      <c r="M20" t="s">
        <v>32</v>
      </c>
      <c r="N20" t="s">
        <v>36</v>
      </c>
      <c r="O20" t="s">
        <v>39</v>
      </c>
      <c r="P20" t="s">
        <v>42</v>
      </c>
      <c r="Q20" t="s">
        <v>45</v>
      </c>
    </row>
    <row r="21" spans="1:17" x14ac:dyDescent="0.25">
      <c r="A21" t="s">
        <v>55</v>
      </c>
      <c r="E21" s="1" t="s">
        <v>3</v>
      </c>
      <c r="F21">
        <v>9884567845</v>
      </c>
      <c r="G21" s="3">
        <v>9884567895</v>
      </c>
      <c r="H21">
        <v>9884567945</v>
      </c>
      <c r="I21">
        <v>9884567995</v>
      </c>
      <c r="J21">
        <v>9884568045</v>
      </c>
      <c r="K21">
        <v>9884568095</v>
      </c>
      <c r="L21">
        <v>9884568145</v>
      </c>
      <c r="M21">
        <v>9884568195</v>
      </c>
      <c r="N21">
        <v>9884568245</v>
      </c>
      <c r="O21">
        <v>9884568295</v>
      </c>
      <c r="P21">
        <v>9884568345</v>
      </c>
      <c r="Q21">
        <v>9884568395</v>
      </c>
    </row>
    <row r="22" spans="1:17" ht="60" x14ac:dyDescent="0.25">
      <c r="A22" t="s">
        <v>56</v>
      </c>
      <c r="E22" s="1" t="s">
        <v>4</v>
      </c>
      <c r="F22" s="2" t="s">
        <v>9</v>
      </c>
      <c r="G22" s="4" t="s">
        <v>15</v>
      </c>
      <c r="H22" s="2" t="s">
        <v>19</v>
      </c>
      <c r="I22" s="2" t="s">
        <v>22</v>
      </c>
      <c r="J22" s="2" t="s">
        <v>24</v>
      </c>
      <c r="K22" s="2" t="s">
        <v>27</v>
      </c>
      <c r="L22" s="2" t="s">
        <v>29</v>
      </c>
      <c r="M22" s="2" t="s">
        <v>33</v>
      </c>
      <c r="N22" s="2" t="s">
        <v>37</v>
      </c>
      <c r="O22" s="2" t="s">
        <v>40</v>
      </c>
      <c r="P22" s="2" t="s">
        <v>43</v>
      </c>
      <c r="Q22" s="2" t="s">
        <v>46</v>
      </c>
    </row>
    <row r="23" spans="1:17" ht="30" x14ac:dyDescent="0.25">
      <c r="E23" s="1" t="s">
        <v>5</v>
      </c>
      <c r="F23" t="s">
        <v>10</v>
      </c>
      <c r="G23" s="3" t="s">
        <v>16</v>
      </c>
      <c r="H23" t="s">
        <v>20</v>
      </c>
      <c r="I23" t="s">
        <v>10</v>
      </c>
      <c r="J23" t="s">
        <v>25</v>
      </c>
      <c r="K23" t="s">
        <v>10</v>
      </c>
      <c r="L23" t="s">
        <v>30</v>
      </c>
      <c r="M23" t="s">
        <v>34</v>
      </c>
      <c r="N23" t="s">
        <v>38</v>
      </c>
      <c r="O23" t="s">
        <v>41</v>
      </c>
      <c r="P23" t="s">
        <v>44</v>
      </c>
    </row>
    <row r="24" spans="1:17" x14ac:dyDescent="0.25">
      <c r="E24" s="1" t="s">
        <v>6</v>
      </c>
      <c r="F24" t="s">
        <v>11</v>
      </c>
      <c r="G24" s="3" t="s">
        <v>17</v>
      </c>
      <c r="H24" t="s">
        <v>17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  <c r="Q24" t="s">
        <v>17</v>
      </c>
    </row>
    <row r="25" spans="1:17" x14ac:dyDescent="0.25">
      <c r="E25" s="1" t="s">
        <v>7</v>
      </c>
      <c r="F25" t="s">
        <v>12</v>
      </c>
      <c r="G25" s="3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31</v>
      </c>
      <c r="M25" t="s">
        <v>35</v>
      </c>
      <c r="N25" t="s">
        <v>12</v>
      </c>
      <c r="O25" t="s">
        <v>12</v>
      </c>
      <c r="P25" t="s">
        <v>12</v>
      </c>
      <c r="Q25" t="s">
        <v>12</v>
      </c>
    </row>
    <row r="28" spans="1:17" x14ac:dyDescent="0.25">
      <c r="E28" s="1" t="s">
        <v>2</v>
      </c>
      <c r="G28" t="s">
        <v>8</v>
      </c>
      <c r="I28" s="1" t="s">
        <v>2</v>
      </c>
      <c r="K28" t="s">
        <v>32</v>
      </c>
    </row>
    <row r="29" spans="1:17" x14ac:dyDescent="0.25">
      <c r="E29" s="1" t="s">
        <v>5</v>
      </c>
      <c r="G29" t="str">
        <f>HLOOKUP(G28,E20:R25,4,0)</f>
        <v>MBA</v>
      </c>
      <c r="I29" s="1" t="s">
        <v>6</v>
      </c>
      <c r="K29" t="str">
        <f>HLOOKUP(K28,E20:Q25,5,0)</f>
        <v>NEW</v>
      </c>
    </row>
    <row r="31" spans="1:17" x14ac:dyDescent="0.25">
      <c r="E31" s="1" t="s">
        <v>2</v>
      </c>
      <c r="G31" t="s">
        <v>21</v>
      </c>
    </row>
    <row r="32" spans="1:17" x14ac:dyDescent="0.25">
      <c r="E32" s="1" t="s">
        <v>7</v>
      </c>
      <c r="G32" t="str">
        <f>HLOOKUP(G31,E20:Q25,6,0)</f>
        <v>TALLY</v>
      </c>
    </row>
    <row r="33" spans="1:18" x14ac:dyDescent="0.25">
      <c r="E33" s="1" t="s">
        <v>1</v>
      </c>
      <c r="F33">
        <v>1</v>
      </c>
      <c r="G33" s="3">
        <v>2</v>
      </c>
      <c r="H33">
        <v>3</v>
      </c>
      <c r="I33">
        <v>4</v>
      </c>
      <c r="J33">
        <v>5</v>
      </c>
      <c r="K33">
        <v>6</v>
      </c>
      <c r="L33">
        <v>7</v>
      </c>
      <c r="M33">
        <v>8</v>
      </c>
      <c r="N33">
        <v>9</v>
      </c>
      <c r="O33">
        <v>10</v>
      </c>
      <c r="P33">
        <v>11</v>
      </c>
      <c r="Q33">
        <v>12</v>
      </c>
    </row>
    <row r="34" spans="1:18" ht="30" x14ac:dyDescent="0.25">
      <c r="E34" s="1" t="s">
        <v>2</v>
      </c>
      <c r="F34" t="s">
        <v>8</v>
      </c>
      <c r="G34" s="3" t="s">
        <v>14</v>
      </c>
      <c r="H34" t="s">
        <v>18</v>
      </c>
      <c r="I34" t="s">
        <v>21</v>
      </c>
      <c r="J34" t="s">
        <v>23</v>
      </c>
      <c r="K34" t="s">
        <v>26</v>
      </c>
      <c r="L34" t="s">
        <v>28</v>
      </c>
      <c r="M34" t="s">
        <v>32</v>
      </c>
      <c r="N34" t="s">
        <v>36</v>
      </c>
      <c r="O34" t="s">
        <v>39</v>
      </c>
      <c r="P34" t="s">
        <v>42</v>
      </c>
      <c r="Q34" t="s">
        <v>45</v>
      </c>
    </row>
    <row r="35" spans="1:18" x14ac:dyDescent="0.25">
      <c r="E35" s="1" t="s">
        <v>57</v>
      </c>
      <c r="F35" t="s">
        <v>58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s">
        <v>59</v>
      </c>
      <c r="O35" t="s">
        <v>61</v>
      </c>
      <c r="P35" t="s">
        <v>66</v>
      </c>
      <c r="Q35" t="s">
        <v>60</v>
      </c>
      <c r="R35" t="s">
        <v>60</v>
      </c>
    </row>
    <row r="38" spans="1:18" x14ac:dyDescent="0.25">
      <c r="A38" t="s">
        <v>67</v>
      </c>
    </row>
    <row r="40" spans="1:18" x14ac:dyDescent="0.25">
      <c r="A40" t="s">
        <v>68</v>
      </c>
      <c r="B40" t="s">
        <v>69</v>
      </c>
      <c r="C40" t="s">
        <v>70</v>
      </c>
      <c r="D40" t="s">
        <v>71</v>
      </c>
      <c r="E40" t="s">
        <v>72</v>
      </c>
      <c r="F40" t="s">
        <v>73</v>
      </c>
    </row>
    <row r="41" spans="1:18" x14ac:dyDescent="0.25">
      <c r="A41">
        <v>1</v>
      </c>
      <c r="B41" t="s">
        <v>76</v>
      </c>
      <c r="C41">
        <v>50000</v>
      </c>
      <c r="D41">
        <v>20000</v>
      </c>
      <c r="E41">
        <v>30000</v>
      </c>
      <c r="F41">
        <v>15000</v>
      </c>
    </row>
    <row r="42" spans="1:18" x14ac:dyDescent="0.25">
      <c r="A42">
        <v>2</v>
      </c>
      <c r="B42" t="s">
        <v>74</v>
      </c>
      <c r="C42">
        <v>101</v>
      </c>
      <c r="D42">
        <v>102</v>
      </c>
      <c r="E42">
        <v>103</v>
      </c>
      <c r="F42">
        <v>104</v>
      </c>
    </row>
    <row r="43" spans="1:18" x14ac:dyDescent="0.25">
      <c r="A43">
        <v>3</v>
      </c>
      <c r="B43" t="s">
        <v>75</v>
      </c>
      <c r="C43" t="s">
        <v>77</v>
      </c>
      <c r="D43" t="s">
        <v>78</v>
      </c>
      <c r="E43" t="s">
        <v>79</v>
      </c>
      <c r="F43" t="s">
        <v>80</v>
      </c>
    </row>
    <row r="46" spans="1:18" x14ac:dyDescent="0.25">
      <c r="I46" t="s">
        <v>81</v>
      </c>
      <c r="L46" t="s">
        <v>82</v>
      </c>
    </row>
    <row r="47" spans="1:18" x14ac:dyDescent="0.25">
      <c r="B47" t="s">
        <v>74</v>
      </c>
      <c r="C47">
        <v>102</v>
      </c>
      <c r="F47" t="s">
        <v>75</v>
      </c>
      <c r="G47" t="s">
        <v>79</v>
      </c>
      <c r="I47">
        <f>HLOOKUP(MAX(B41:F41),B41:F43,1,0)</f>
        <v>50000</v>
      </c>
      <c r="J47" t="str">
        <f>HLOOKUP(MAX(B41:F41),C41:F43,3,0)</f>
        <v>LAPTOP</v>
      </c>
      <c r="L47">
        <f>HLOOKUP(MIN(B41:F41),B41:F43,1,0)</f>
        <v>15000</v>
      </c>
    </row>
    <row r="48" spans="1:18" x14ac:dyDescent="0.25">
      <c r="B48" t="s">
        <v>75</v>
      </c>
      <c r="C48" t="str">
        <f>HLOOKUP(C47,B42:F44,2,0)</f>
        <v>MOBILE</v>
      </c>
      <c r="F48" t="s">
        <v>76</v>
      </c>
      <c r="G48">
        <f>HLOOKUP(G47,B43:F44,2,0)</f>
        <v>0</v>
      </c>
    </row>
    <row r="50" spans="2:9" x14ac:dyDescent="0.25">
      <c r="F50" t="s">
        <v>74</v>
      </c>
      <c r="G50">
        <v>103</v>
      </c>
      <c r="I50" t="s">
        <v>83</v>
      </c>
    </row>
    <row r="51" spans="2:9" x14ac:dyDescent="0.25">
      <c r="B51" t="s">
        <v>74</v>
      </c>
      <c r="C51">
        <v>103</v>
      </c>
      <c r="F51" t="s">
        <v>75</v>
      </c>
      <c r="G51" t="str">
        <f>(IFERROR(HLOOKUP(G50,SHIVAM,2,0),"NOT FOUND"))</f>
        <v>TABLE</v>
      </c>
      <c r="I51">
        <f>HLOOKUP(LARGE(B41:F41,2),B41:F43,1,0)</f>
        <v>30000</v>
      </c>
    </row>
    <row r="52" spans="2:9" x14ac:dyDescent="0.25">
      <c r="B52" t="s">
        <v>76</v>
      </c>
      <c r="C52">
        <f>HLOOKUP(C51,SHIVAM,3,0)</f>
        <v>0</v>
      </c>
    </row>
  </sheetData>
  <dataValidations count="1">
    <dataValidation type="list" allowBlank="1" showInputMessage="1" showErrorMessage="1" sqref="C51" xr:uid="{846B8ADF-9DCB-4BF1-B8D0-8202F59F94CE}">
      <formula1>$C$42:$F$42</formula1>
    </dataValidation>
  </dataValidations>
  <hyperlinks>
    <hyperlink ref="E10" r:id="rId1" display="MONIKA@GMAIL.COM" xr:uid="{7A18EB9B-B9C8-42CB-91F6-D7771290B4BF}"/>
    <hyperlink ref="E2" r:id="rId2" display="DEEPIKA@GMAIL.COM" xr:uid="{EC2DE8A4-C1CB-43AA-9231-4DCA8F5E5FC8}"/>
    <hyperlink ref="E5" r:id="rId3" display="TANVI@GMAIL.COM" xr:uid="{B21815D8-815D-4744-A6D0-86CEB4173E40}"/>
    <hyperlink ref="E6" r:id="rId4" display="TARUN@GMAIL.COM" xr:uid="{33E44AA7-FC5E-40F0-A7AD-7DBFF1FAE8B5}"/>
    <hyperlink ref="E8" r:id="rId5" display="AKANSHA@GMAIL.COM" xr:uid="{269C2AF5-415A-40E0-B259-763A959EEB09}"/>
    <hyperlink ref="F22" r:id="rId6" xr:uid="{B3C0006B-A7AD-4BDC-A8CF-946B290CF69C}"/>
    <hyperlink ref="I22" r:id="rId7" xr:uid="{9C3076EC-79C1-4450-AED5-4852C65DAB12}"/>
    <hyperlink ref="J22" r:id="rId8" xr:uid="{8CE7E1E5-9497-45E5-812E-26FF44A5719F}"/>
    <hyperlink ref="L22" r:id="rId9" xr:uid="{F3D6412A-0267-45BF-9FE5-1E9835C20366}"/>
    <hyperlink ref="N22" r:id="rId10" xr:uid="{6E41A5B7-363A-4F1D-BCCC-42DE57D6BF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84B7-3010-4CBD-B1F8-8834E293BD52}">
  <dimension ref="A1:S16"/>
  <sheetViews>
    <sheetView workbookViewId="0">
      <selection activeCell="K2" sqref="K2:S3"/>
    </sheetView>
  </sheetViews>
  <sheetFormatPr defaultRowHeight="15" x14ac:dyDescent="0.25"/>
  <sheetData>
    <row r="1" spans="1:19" x14ac:dyDescent="0.25">
      <c r="A1" t="str">
        <f>Sheet1!A1</f>
        <v>MARKS</v>
      </c>
      <c r="B1" t="str">
        <f>Sheet1!B1</f>
        <v>sr.no</v>
      </c>
      <c r="C1" t="str">
        <f>Sheet1!C1</f>
        <v>NAME OF STUDENT</v>
      </c>
      <c r="D1" t="str">
        <f>Sheet1!D1</f>
        <v>MOBILE&gt;NO</v>
      </c>
      <c r="E1" t="str">
        <f>Sheet1!E1</f>
        <v>EMAIL ID</v>
      </c>
      <c r="F1" t="str">
        <f>Sheet1!F1</f>
        <v>QUALFICATION</v>
      </c>
      <c r="G1" t="str">
        <f>Sheet1!G1</f>
        <v>STATUS</v>
      </c>
      <c r="H1" t="str">
        <f>Sheet1!H1</f>
        <v>COURSE</v>
      </c>
    </row>
    <row r="2" spans="1:19" x14ac:dyDescent="0.25">
      <c r="A2">
        <f>Sheet1!A2</f>
        <v>56</v>
      </c>
      <c r="B2">
        <f>Sheet1!B2</f>
        <v>1</v>
      </c>
      <c r="C2" t="str">
        <f>Sheet1!C2</f>
        <v>DEEPIKA</v>
      </c>
      <c r="D2">
        <f>Sheet1!D2</f>
        <v>9884567845</v>
      </c>
      <c r="E2" t="str">
        <f>Sheet1!E2</f>
        <v>DEEPIKA@GMAIL.COM</v>
      </c>
      <c r="F2" t="str">
        <f>Sheet1!F2</f>
        <v>MBA</v>
      </c>
      <c r="G2" t="str">
        <f>Sheet1!G2</f>
        <v>NEW</v>
      </c>
      <c r="H2" t="str">
        <f>Sheet1!H2</f>
        <v>TALLY</v>
      </c>
      <c r="K2" s="8" t="s">
        <v>52</v>
      </c>
      <c r="L2" s="8"/>
      <c r="M2" s="8"/>
      <c r="N2" s="8"/>
      <c r="O2" s="8"/>
      <c r="P2" s="8"/>
      <c r="Q2" s="8"/>
      <c r="R2" s="8"/>
      <c r="S2" s="8"/>
    </row>
    <row r="3" spans="1:19" x14ac:dyDescent="0.25">
      <c r="A3">
        <f>Sheet1!A3</f>
        <v>86</v>
      </c>
      <c r="B3">
        <f>Sheet1!B3</f>
        <v>2</v>
      </c>
      <c r="C3" t="str">
        <f>Sheet1!C3</f>
        <v>ADRESH KUMAR</v>
      </c>
      <c r="D3">
        <f>Sheet1!D3</f>
        <v>9884567895</v>
      </c>
      <c r="E3" t="str">
        <f>Sheet1!E3</f>
        <v>ADRESH KUMAR@GMAIL.COM</v>
      </c>
      <c r="F3" t="str">
        <f>Sheet1!F3</f>
        <v>BBA PURSING</v>
      </c>
      <c r="G3" t="str">
        <f>Sheet1!G3</f>
        <v>OLD</v>
      </c>
      <c r="H3" t="str">
        <f>Sheet1!H3</f>
        <v>TALLY</v>
      </c>
      <c r="K3" s="8"/>
      <c r="L3" s="8"/>
      <c r="M3" s="8"/>
      <c r="N3" s="8"/>
      <c r="O3" s="8"/>
      <c r="P3" s="8"/>
      <c r="Q3" s="8"/>
      <c r="R3" s="8"/>
      <c r="S3" s="8"/>
    </row>
    <row r="4" spans="1:19" x14ac:dyDescent="0.25">
      <c r="A4">
        <f>Sheet1!A4</f>
        <v>7</v>
      </c>
      <c r="B4">
        <f>Sheet1!B4</f>
        <v>3</v>
      </c>
      <c r="C4" t="str">
        <f>Sheet1!C4</f>
        <v>ANIL KUMAR</v>
      </c>
      <c r="D4">
        <f>Sheet1!D4</f>
        <v>9884567945</v>
      </c>
      <c r="E4" t="str">
        <f>Sheet1!E4</f>
        <v>ANIL KUMAR@GMAIL.COM</v>
      </c>
      <c r="F4" t="str">
        <f>Sheet1!F4</f>
        <v>MCOM</v>
      </c>
      <c r="G4" t="str">
        <f>Sheet1!G4</f>
        <v>OLD</v>
      </c>
      <c r="H4" t="str">
        <f>Sheet1!H4</f>
        <v>TALLY</v>
      </c>
    </row>
    <row r="5" spans="1:19" x14ac:dyDescent="0.25">
      <c r="A5">
        <f>Sheet1!A5</f>
        <v>78</v>
      </c>
      <c r="B5">
        <f>Sheet1!B5</f>
        <v>4</v>
      </c>
      <c r="C5" t="str">
        <f>Sheet1!C5</f>
        <v>TANVI</v>
      </c>
      <c r="D5">
        <f>Sheet1!D5</f>
        <v>9884567995</v>
      </c>
      <c r="E5" t="str">
        <f>Sheet1!E5</f>
        <v>TANVI@GMAIL.COM</v>
      </c>
      <c r="F5" t="str">
        <f>Sheet1!F5</f>
        <v>MBA</v>
      </c>
      <c r="G5" t="str">
        <f>Sheet1!G5</f>
        <v>NEW</v>
      </c>
      <c r="H5" t="str">
        <f>Sheet1!H5</f>
        <v>TALLY</v>
      </c>
      <c r="J5" s="6" t="s">
        <v>48</v>
      </c>
      <c r="K5" s="6"/>
      <c r="L5" s="7"/>
      <c r="M5" s="6" t="s">
        <v>49</v>
      </c>
      <c r="N5" s="6"/>
      <c r="R5" s="5" t="s">
        <v>51</v>
      </c>
      <c r="S5" s="5"/>
    </row>
    <row r="6" spans="1:19" x14ac:dyDescent="0.25">
      <c r="A6">
        <f>Sheet1!A6</f>
        <v>5</v>
      </c>
      <c r="B6">
        <f>Sheet1!B6</f>
        <v>5</v>
      </c>
      <c r="C6" t="str">
        <f>Sheet1!C6</f>
        <v>TARUN</v>
      </c>
      <c r="D6">
        <f>Sheet1!D6</f>
        <v>9884568045</v>
      </c>
      <c r="E6" t="str">
        <f>Sheet1!E6</f>
        <v>TARUN@GMAIL.COM</v>
      </c>
      <c r="F6" t="str">
        <f>Sheet1!F6</f>
        <v>10+2</v>
      </c>
      <c r="G6" t="str">
        <f>Sheet1!G6</f>
        <v>NEW</v>
      </c>
      <c r="H6" t="str">
        <f>Sheet1!H6</f>
        <v>TALLY</v>
      </c>
      <c r="J6">
        <v>5</v>
      </c>
      <c r="L6">
        <v>2</v>
      </c>
      <c r="M6">
        <v>10</v>
      </c>
      <c r="N6">
        <v>2</v>
      </c>
      <c r="P6" s="6" t="s">
        <v>50</v>
      </c>
      <c r="Q6" s="6"/>
      <c r="R6">
        <v>2.5</v>
      </c>
      <c r="S6">
        <v>2</v>
      </c>
    </row>
    <row r="7" spans="1:19" x14ac:dyDescent="0.25">
      <c r="A7">
        <f>Sheet1!A7</f>
        <v>5</v>
      </c>
      <c r="B7">
        <f>Sheet1!B7</f>
        <v>6</v>
      </c>
      <c r="C7" t="str">
        <f>Sheet1!C7</f>
        <v xml:space="preserve">NEERU SHARMA </v>
      </c>
      <c r="D7">
        <f>Sheet1!D7</f>
        <v>9884568095</v>
      </c>
      <c r="E7" t="str">
        <f>Sheet1!E7</f>
        <v>NEERU SHARMA@GMAIL.COM</v>
      </c>
      <c r="F7" t="str">
        <f>Sheet1!F7</f>
        <v>MBA</v>
      </c>
      <c r="G7" t="str">
        <f>Sheet1!G7</f>
        <v>NEW</v>
      </c>
      <c r="H7" t="str">
        <f>Sheet1!H7</f>
        <v>TALLY</v>
      </c>
      <c r="J7">
        <v>10</v>
      </c>
      <c r="M7">
        <v>20</v>
      </c>
      <c r="P7">
        <v>7</v>
      </c>
      <c r="Q7">
        <v>2</v>
      </c>
      <c r="R7">
        <v>5</v>
      </c>
    </row>
    <row r="8" spans="1:19" x14ac:dyDescent="0.25">
      <c r="A8">
        <f>Sheet1!A8</f>
        <v>98</v>
      </c>
      <c r="B8">
        <f>Sheet1!B8</f>
        <v>7</v>
      </c>
      <c r="C8" t="str">
        <f>Sheet1!C8</f>
        <v>AKANSHA</v>
      </c>
      <c r="D8">
        <f>Sheet1!D8</f>
        <v>9884568145</v>
      </c>
      <c r="E8" t="str">
        <f>Sheet1!E8</f>
        <v>AKANSHA@GMAIL.COM</v>
      </c>
      <c r="F8" t="str">
        <f>Sheet1!F8</f>
        <v>BCOM BED</v>
      </c>
      <c r="G8" t="str">
        <f>Sheet1!G8</f>
        <v>ca</v>
      </c>
      <c r="H8">
        <f>Sheet1!H8</f>
        <v>0</v>
      </c>
      <c r="J8">
        <v>15</v>
      </c>
      <c r="M8">
        <v>30</v>
      </c>
      <c r="P8">
        <v>12</v>
      </c>
      <c r="R8">
        <v>7.5</v>
      </c>
    </row>
    <row r="9" spans="1:19" x14ac:dyDescent="0.25">
      <c r="A9">
        <f>Sheet1!A9</f>
        <v>5</v>
      </c>
      <c r="B9">
        <f>Sheet1!B9</f>
        <v>8</v>
      </c>
      <c r="C9" t="str">
        <f>Sheet1!C9</f>
        <v>MANJOT SINGH</v>
      </c>
      <c r="D9">
        <f>Sheet1!D9</f>
        <v>9884568195</v>
      </c>
      <c r="E9" t="str">
        <f>Sheet1!E9</f>
        <v>MANJOT SINGH@GMAIL.COM</v>
      </c>
      <c r="F9" t="str">
        <f>Sheet1!F9</f>
        <v>BSE.MED,MBA,BCOM</v>
      </c>
      <c r="G9" t="str">
        <f>Sheet1!G9</f>
        <v>NEW</v>
      </c>
      <c r="H9" t="str">
        <f>Sheet1!H9</f>
        <v>QUICK BOOK</v>
      </c>
      <c r="J9">
        <v>20</v>
      </c>
      <c r="M9">
        <v>40</v>
      </c>
      <c r="P9">
        <v>17</v>
      </c>
      <c r="R9">
        <v>10</v>
      </c>
    </row>
    <row r="10" spans="1:19" x14ac:dyDescent="0.25">
      <c r="A10">
        <f>Sheet1!A10</f>
        <v>54</v>
      </c>
      <c r="B10">
        <f>Sheet1!B10</f>
        <v>9</v>
      </c>
      <c r="C10" t="str">
        <f>Sheet1!C10</f>
        <v>MONIKA</v>
      </c>
      <c r="D10">
        <f>Sheet1!D10</f>
        <v>9884568245</v>
      </c>
      <c r="E10" t="str">
        <f>Sheet1!E10</f>
        <v>MONIKA@GMAIL.COM</v>
      </c>
      <c r="F10" t="str">
        <f>Sheet1!F10</f>
        <v>10+2 MED</v>
      </c>
      <c r="G10" t="str">
        <f>Sheet1!G10</f>
        <v>NEW</v>
      </c>
      <c r="H10" t="str">
        <f>Sheet1!H10</f>
        <v>TALLY</v>
      </c>
      <c r="J10">
        <v>25</v>
      </c>
      <c r="M10">
        <v>50</v>
      </c>
      <c r="P10">
        <v>22</v>
      </c>
      <c r="R10">
        <v>12.5</v>
      </c>
    </row>
    <row r="11" spans="1:19" x14ac:dyDescent="0.25">
      <c r="A11">
        <f>Sheet1!A11</f>
        <v>2</v>
      </c>
      <c r="B11">
        <f>Sheet1!B11</f>
        <v>10</v>
      </c>
      <c r="C11" t="str">
        <f>Sheet1!C11</f>
        <v>CHIRAG SHARMA</v>
      </c>
      <c r="D11">
        <f>Sheet1!D11</f>
        <v>9884568295</v>
      </c>
      <c r="E11" t="str">
        <f>Sheet1!E11</f>
        <v>CHIRAG SHARMA@GMAIL.COM</v>
      </c>
      <c r="F11" t="str">
        <f>Sheet1!F11</f>
        <v>10+2 ART</v>
      </c>
      <c r="G11" t="str">
        <f>Sheet1!G11</f>
        <v>NEW</v>
      </c>
      <c r="H11" t="str">
        <f>Sheet1!H11</f>
        <v>TALLY</v>
      </c>
      <c r="J11">
        <v>30</v>
      </c>
      <c r="M11">
        <v>60</v>
      </c>
      <c r="P11">
        <v>27</v>
      </c>
      <c r="R11">
        <v>15</v>
      </c>
    </row>
    <row r="12" spans="1:19" x14ac:dyDescent="0.25">
      <c r="A12">
        <f>Sheet1!A12</f>
        <v>5</v>
      </c>
      <c r="B12">
        <f>Sheet1!B12</f>
        <v>11</v>
      </c>
      <c r="C12" t="str">
        <f>Sheet1!C12</f>
        <v>PARMINDER KAUR</v>
      </c>
      <c r="D12">
        <f>Sheet1!D12</f>
        <v>9884568345</v>
      </c>
      <c r="E12" t="str">
        <f>Sheet1!E12</f>
        <v>PARMINDER KAUR@GMAIL.COM</v>
      </c>
      <c r="F12" t="str">
        <f>Sheet1!F12</f>
        <v>BA MBA PUR</v>
      </c>
      <c r="G12" t="str">
        <f>Sheet1!G12</f>
        <v>NEW</v>
      </c>
      <c r="H12" t="str">
        <f>Sheet1!H12</f>
        <v>TALLY</v>
      </c>
      <c r="J12">
        <v>35</v>
      </c>
      <c r="M12">
        <v>70</v>
      </c>
      <c r="P12">
        <v>32</v>
      </c>
      <c r="R12">
        <v>17.5</v>
      </c>
    </row>
    <row r="13" spans="1:19" x14ac:dyDescent="0.25">
      <c r="A13">
        <f>Sheet1!A13</f>
        <v>45</v>
      </c>
      <c r="B13">
        <f>Sheet1!B13</f>
        <v>12</v>
      </c>
      <c r="C13" t="str">
        <f>Sheet1!C13</f>
        <v>AKSHIT AGNIHOTRI</v>
      </c>
      <c r="D13">
        <f>Sheet1!D13</f>
        <v>9884568395</v>
      </c>
      <c r="E13" t="str">
        <f>Sheet1!E13</f>
        <v>AKSHIT AGNIHOTRI@GMAIL.COM</v>
      </c>
      <c r="F13">
        <f>Sheet1!F13</f>
        <v>0</v>
      </c>
      <c r="G13" t="str">
        <f>Sheet1!G13</f>
        <v>OLD</v>
      </c>
      <c r="H13" t="str">
        <f>Sheet1!H13</f>
        <v>TALLY</v>
      </c>
      <c r="J13">
        <v>40</v>
      </c>
      <c r="M13">
        <v>80</v>
      </c>
      <c r="P13">
        <v>37</v>
      </c>
      <c r="R13">
        <v>20</v>
      </c>
    </row>
    <row r="14" spans="1:19" x14ac:dyDescent="0.25">
      <c r="J14">
        <v>45</v>
      </c>
      <c r="M14">
        <v>90</v>
      </c>
      <c r="P14">
        <v>42</v>
      </c>
      <c r="R14">
        <v>22.5</v>
      </c>
    </row>
    <row r="15" spans="1:19" x14ac:dyDescent="0.25">
      <c r="J15">
        <v>50</v>
      </c>
      <c r="M15">
        <v>100</v>
      </c>
      <c r="P15">
        <v>47</v>
      </c>
      <c r="R15">
        <v>25</v>
      </c>
    </row>
    <row r="16" spans="1:19" x14ac:dyDescent="0.25">
      <c r="P16">
        <v>52</v>
      </c>
    </row>
  </sheetData>
  <mergeCells count="5">
    <mergeCell ref="K2:S3"/>
    <mergeCell ref="M5:N5"/>
    <mergeCell ref="P6:Q6"/>
    <mergeCell ref="R5:S5"/>
    <mergeCell ref="J5:K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SHIVAM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2025-09-23T04:58:00Z</dcterms:created>
  <dcterms:modified xsi:type="dcterms:W3CDTF">2025-09-23T06:19:50Z</dcterms:modified>
</cp:coreProperties>
</file>