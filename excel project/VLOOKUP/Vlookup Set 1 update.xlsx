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HP\Desktop\CBItts\excel\"/>
    </mc:Choice>
  </mc:AlternateContent>
  <xr:revisionPtr revIDLastSave="0" documentId="8_{D3D597B1-4397-44D4-8DE9-7861E7F55B9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Questions" sheetId="2" r:id="rId1"/>
    <sheet name="Database 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1" l="1"/>
  <c r="N21" i="1"/>
  <c r="N20" i="1"/>
  <c r="N19" i="1"/>
  <c r="M21" i="1"/>
  <c r="M20" i="1"/>
  <c r="M19" i="1"/>
  <c r="M18" i="1"/>
  <c r="M14" i="1"/>
  <c r="O10" i="1"/>
  <c r="N10" i="1"/>
  <c r="M10" i="1"/>
  <c r="I3" i="1"/>
  <c r="I4" i="1"/>
  <c r="I5" i="1"/>
  <c r="I6" i="1"/>
  <c r="J6" i="1" s="1"/>
  <c r="I7" i="1"/>
  <c r="I8" i="1"/>
  <c r="I9" i="1"/>
  <c r="J9" i="1" s="1"/>
  <c r="I10" i="1"/>
  <c r="J10" i="1" s="1"/>
  <c r="I11" i="1"/>
  <c r="I12" i="1"/>
  <c r="I13" i="1"/>
  <c r="I14" i="1"/>
  <c r="J14" i="1" s="1"/>
  <c r="I15" i="1"/>
  <c r="I16" i="1"/>
  <c r="I17" i="1"/>
  <c r="I18" i="1"/>
  <c r="J18" i="1" s="1"/>
  <c r="I19" i="1"/>
  <c r="I20" i="1"/>
  <c r="I21" i="1"/>
  <c r="I22" i="1"/>
  <c r="J22" i="1" s="1"/>
  <c r="I23" i="1"/>
  <c r="I24" i="1"/>
  <c r="I25" i="1"/>
  <c r="J25" i="1" s="1"/>
  <c r="I26" i="1"/>
  <c r="J26" i="1" s="1"/>
  <c r="I27" i="1"/>
  <c r="I28" i="1"/>
  <c r="I29" i="1"/>
  <c r="I30" i="1"/>
  <c r="J30" i="1" s="1"/>
  <c r="I31" i="1"/>
  <c r="I32" i="1"/>
  <c r="I33" i="1"/>
  <c r="I34" i="1"/>
  <c r="J34" i="1" s="1"/>
  <c r="I35" i="1"/>
  <c r="I36" i="1"/>
  <c r="I37" i="1"/>
  <c r="I38" i="1"/>
  <c r="J38" i="1" s="1"/>
  <c r="I39" i="1"/>
  <c r="I40" i="1"/>
  <c r="I41" i="1"/>
  <c r="J41" i="1" s="1"/>
  <c r="I42" i="1"/>
  <c r="J42" i="1" s="1"/>
  <c r="I43" i="1"/>
  <c r="I44" i="1"/>
  <c r="I45" i="1"/>
  <c r="I46" i="1"/>
  <c r="J46" i="1" s="1"/>
  <c r="I47" i="1"/>
  <c r="I48" i="1"/>
  <c r="I49" i="1"/>
  <c r="I50" i="1"/>
  <c r="J50" i="1" s="1"/>
  <c r="I51" i="1"/>
  <c r="I52" i="1"/>
  <c r="I53" i="1"/>
  <c r="I54" i="1"/>
  <c r="J54" i="1" s="1"/>
  <c r="I55" i="1"/>
  <c r="I56" i="1"/>
  <c r="I57" i="1"/>
  <c r="J57" i="1" s="1"/>
  <c r="I58" i="1"/>
  <c r="J58" i="1" s="1"/>
  <c r="I59" i="1"/>
  <c r="I60" i="1"/>
  <c r="I61" i="1"/>
  <c r="I62" i="1"/>
  <c r="J62" i="1" s="1"/>
  <c r="I63" i="1"/>
  <c r="I64" i="1"/>
  <c r="I65" i="1"/>
  <c r="I66" i="1"/>
  <c r="J66" i="1" s="1"/>
  <c r="I67" i="1"/>
  <c r="I68" i="1"/>
  <c r="I69" i="1"/>
  <c r="I70" i="1"/>
  <c r="J70" i="1" s="1"/>
  <c r="I71" i="1"/>
  <c r="I72" i="1"/>
  <c r="I73" i="1"/>
  <c r="J73" i="1" s="1"/>
  <c r="I74" i="1"/>
  <c r="J74" i="1" s="1"/>
  <c r="I75" i="1"/>
  <c r="I76" i="1"/>
  <c r="I77" i="1"/>
  <c r="I78" i="1"/>
  <c r="J78" i="1" s="1"/>
  <c r="I79" i="1"/>
  <c r="I80" i="1"/>
  <c r="I81" i="1"/>
  <c r="I82" i="1"/>
  <c r="J82" i="1" s="1"/>
  <c r="I83" i="1"/>
  <c r="I84" i="1"/>
  <c r="I85" i="1"/>
  <c r="I86" i="1"/>
  <c r="J86" i="1" s="1"/>
  <c r="I87" i="1"/>
  <c r="I88" i="1"/>
  <c r="I89" i="1"/>
  <c r="J89" i="1" s="1"/>
  <c r="I90" i="1"/>
  <c r="J90" i="1" s="1"/>
  <c r="I91" i="1"/>
  <c r="I92" i="1"/>
  <c r="I93" i="1"/>
  <c r="I94" i="1"/>
  <c r="J94" i="1" s="1"/>
  <c r="I95" i="1"/>
  <c r="I96" i="1"/>
  <c r="I97" i="1"/>
  <c r="I98" i="1"/>
  <c r="J98" i="1" s="1"/>
  <c r="I99" i="1"/>
  <c r="I100" i="1"/>
  <c r="I101" i="1"/>
  <c r="I102" i="1"/>
  <c r="J102" i="1" s="1"/>
  <c r="I103" i="1"/>
  <c r="I104" i="1"/>
  <c r="I105" i="1"/>
  <c r="J105" i="1" s="1"/>
  <c r="I106" i="1"/>
  <c r="J106" i="1" s="1"/>
  <c r="I107" i="1"/>
  <c r="I108" i="1"/>
  <c r="I109" i="1"/>
  <c r="I110" i="1"/>
  <c r="J110" i="1" s="1"/>
  <c r="I111" i="1"/>
  <c r="I112" i="1"/>
  <c r="I113" i="1"/>
  <c r="I114" i="1"/>
  <c r="J114" i="1" s="1"/>
  <c r="I115" i="1"/>
  <c r="I116" i="1"/>
  <c r="I117" i="1"/>
  <c r="I118" i="1"/>
  <c r="J118" i="1" s="1"/>
  <c r="I119" i="1"/>
  <c r="I120" i="1"/>
  <c r="I121" i="1"/>
  <c r="J121" i="1" s="1"/>
  <c r="I122" i="1"/>
  <c r="J122" i="1" s="1"/>
  <c r="I123" i="1"/>
  <c r="I124" i="1"/>
  <c r="I125" i="1"/>
  <c r="I126" i="1"/>
  <c r="J126" i="1" s="1"/>
  <c r="I127" i="1"/>
  <c r="I128" i="1"/>
  <c r="I129" i="1"/>
  <c r="I130" i="1"/>
  <c r="J130" i="1" s="1"/>
  <c r="I131" i="1"/>
  <c r="I132" i="1"/>
  <c r="I133" i="1"/>
  <c r="I134" i="1"/>
  <c r="J134" i="1" s="1"/>
  <c r="I135" i="1"/>
  <c r="I136" i="1"/>
  <c r="I137" i="1"/>
  <c r="J137" i="1" s="1"/>
  <c r="I138" i="1"/>
  <c r="J138" i="1" s="1"/>
  <c r="I139" i="1"/>
  <c r="I140" i="1"/>
  <c r="I141" i="1"/>
  <c r="I142" i="1"/>
  <c r="J142" i="1" s="1"/>
  <c r="I143" i="1"/>
  <c r="I144" i="1"/>
  <c r="I145" i="1"/>
  <c r="I146" i="1"/>
  <c r="J146" i="1" s="1"/>
  <c r="I147" i="1"/>
  <c r="I148" i="1"/>
  <c r="I149" i="1"/>
  <c r="I150" i="1"/>
  <c r="J150" i="1" s="1"/>
  <c r="I151" i="1"/>
  <c r="I152" i="1"/>
  <c r="I153" i="1"/>
  <c r="J153" i="1" s="1"/>
  <c r="I154" i="1"/>
  <c r="J154" i="1" s="1"/>
  <c r="I155" i="1"/>
  <c r="I156" i="1"/>
  <c r="I157" i="1"/>
  <c r="I158" i="1"/>
  <c r="J158" i="1" s="1"/>
  <c r="I159" i="1"/>
  <c r="I160" i="1"/>
  <c r="I161" i="1"/>
  <c r="I162" i="1"/>
  <c r="J162" i="1" s="1"/>
  <c r="I163" i="1"/>
  <c r="I164" i="1"/>
  <c r="I165" i="1"/>
  <c r="I166" i="1"/>
  <c r="J166" i="1" s="1"/>
  <c r="I167" i="1"/>
  <c r="I168" i="1"/>
  <c r="I169" i="1"/>
  <c r="J169" i="1" s="1"/>
  <c r="I170" i="1"/>
  <c r="J170" i="1" s="1"/>
  <c r="I171" i="1"/>
  <c r="I172" i="1"/>
  <c r="I173" i="1"/>
  <c r="I174" i="1"/>
  <c r="J174" i="1" s="1"/>
  <c r="I175" i="1"/>
  <c r="I176" i="1"/>
  <c r="I177" i="1"/>
  <c r="I178" i="1"/>
  <c r="J178" i="1" s="1"/>
  <c r="I179" i="1"/>
  <c r="I180" i="1"/>
  <c r="I181" i="1"/>
  <c r="I182" i="1"/>
  <c r="J182" i="1" s="1"/>
  <c r="I183" i="1"/>
  <c r="I184" i="1"/>
  <c r="I185" i="1"/>
  <c r="J185" i="1" s="1"/>
  <c r="I186" i="1"/>
  <c r="J186" i="1" s="1"/>
  <c r="I187" i="1"/>
  <c r="I188" i="1"/>
  <c r="I189" i="1"/>
  <c r="I190" i="1"/>
  <c r="J190" i="1" s="1"/>
  <c r="I191" i="1"/>
  <c r="I192" i="1"/>
  <c r="I193" i="1"/>
  <c r="I194" i="1"/>
  <c r="J194" i="1" s="1"/>
  <c r="I195" i="1"/>
  <c r="I196" i="1"/>
  <c r="I197" i="1"/>
  <c r="I198" i="1"/>
  <c r="J198" i="1" s="1"/>
  <c r="I199" i="1"/>
  <c r="I200" i="1"/>
  <c r="I201" i="1"/>
  <c r="J201" i="1" s="1"/>
  <c r="I202" i="1"/>
  <c r="J202" i="1" s="1"/>
  <c r="I203" i="1"/>
  <c r="I204" i="1"/>
  <c r="I205" i="1"/>
  <c r="I206" i="1"/>
  <c r="J206" i="1" s="1"/>
  <c r="I207" i="1"/>
  <c r="J207" i="1" s="1"/>
  <c r="I208" i="1"/>
  <c r="I209" i="1"/>
  <c r="I210" i="1"/>
  <c r="J210" i="1" s="1"/>
  <c r="I211" i="1"/>
  <c r="I212" i="1"/>
  <c r="I213" i="1"/>
  <c r="I214" i="1"/>
  <c r="J214" i="1" s="1"/>
  <c r="I215" i="1"/>
  <c r="I216" i="1"/>
  <c r="I217" i="1"/>
  <c r="J217" i="1" s="1"/>
  <c r="I218" i="1"/>
  <c r="J218" i="1" s="1"/>
  <c r="I219" i="1"/>
  <c r="J219" i="1" s="1"/>
  <c r="I220" i="1"/>
  <c r="I221" i="1"/>
  <c r="I222" i="1"/>
  <c r="J222" i="1" s="1"/>
  <c r="I223" i="1"/>
  <c r="J223" i="1" s="1"/>
  <c r="I224" i="1"/>
  <c r="I225" i="1"/>
  <c r="I226" i="1"/>
  <c r="J226" i="1" s="1"/>
  <c r="I227" i="1"/>
  <c r="I228" i="1"/>
  <c r="I229" i="1"/>
  <c r="I230" i="1"/>
  <c r="J230" i="1" s="1"/>
  <c r="I231" i="1"/>
  <c r="I232" i="1"/>
  <c r="I233" i="1"/>
  <c r="J233" i="1" s="1"/>
  <c r="I234" i="1"/>
  <c r="J234" i="1" s="1"/>
  <c r="I235" i="1"/>
  <c r="J235" i="1" s="1"/>
  <c r="I236" i="1"/>
  <c r="I237" i="1"/>
  <c r="I238" i="1"/>
  <c r="J238" i="1" s="1"/>
  <c r="I239" i="1"/>
  <c r="J239" i="1" s="1"/>
  <c r="I240" i="1"/>
  <c r="I241" i="1"/>
  <c r="I242" i="1"/>
  <c r="J242" i="1" s="1"/>
  <c r="I243" i="1"/>
  <c r="I244" i="1"/>
  <c r="I245" i="1"/>
  <c r="I246" i="1"/>
  <c r="J246" i="1" s="1"/>
  <c r="I247" i="1"/>
  <c r="I248" i="1"/>
  <c r="I249" i="1"/>
  <c r="J249" i="1" s="1"/>
  <c r="I250" i="1"/>
  <c r="J250" i="1" s="1"/>
  <c r="I251" i="1"/>
  <c r="J251" i="1" s="1"/>
  <c r="I252" i="1"/>
  <c r="I253" i="1"/>
  <c r="I254" i="1"/>
  <c r="J254" i="1" s="1"/>
  <c r="I255" i="1"/>
  <c r="J255" i="1" s="1"/>
  <c r="I256" i="1"/>
  <c r="I257" i="1"/>
  <c r="I258" i="1"/>
  <c r="J258" i="1" s="1"/>
  <c r="I259" i="1"/>
  <c r="I260" i="1"/>
  <c r="I261" i="1"/>
  <c r="I262" i="1"/>
  <c r="J262" i="1" s="1"/>
  <c r="I263" i="1"/>
  <c r="I264" i="1"/>
  <c r="I265" i="1"/>
  <c r="J265" i="1" s="1"/>
  <c r="I266" i="1"/>
  <c r="J266" i="1" s="1"/>
  <c r="I267" i="1"/>
  <c r="J267" i="1" s="1"/>
  <c r="I268" i="1"/>
  <c r="I269" i="1"/>
  <c r="I270" i="1"/>
  <c r="J270" i="1" s="1"/>
  <c r="I271" i="1"/>
  <c r="J271" i="1" s="1"/>
  <c r="I272" i="1"/>
  <c r="I273" i="1"/>
  <c r="I274" i="1"/>
  <c r="J274" i="1" s="1"/>
  <c r="I275" i="1"/>
  <c r="I276" i="1"/>
  <c r="I277" i="1"/>
  <c r="I278" i="1"/>
  <c r="J278" i="1" s="1"/>
  <c r="I279" i="1"/>
  <c r="I280" i="1"/>
  <c r="I281" i="1"/>
  <c r="J281" i="1" s="1"/>
  <c r="I282" i="1"/>
  <c r="J282" i="1" s="1"/>
  <c r="I283" i="1"/>
  <c r="J283" i="1" s="1"/>
  <c r="I284" i="1"/>
  <c r="I285" i="1"/>
  <c r="I286" i="1"/>
  <c r="J286" i="1" s="1"/>
  <c r="I287" i="1"/>
  <c r="J287" i="1" s="1"/>
  <c r="I288" i="1"/>
  <c r="I289" i="1"/>
  <c r="I290" i="1"/>
  <c r="J290" i="1" s="1"/>
  <c r="I291" i="1"/>
  <c r="I292" i="1"/>
  <c r="I293" i="1"/>
  <c r="I294" i="1"/>
  <c r="J294" i="1" s="1"/>
  <c r="I295" i="1"/>
  <c r="I296" i="1"/>
  <c r="I297" i="1"/>
  <c r="J297" i="1" s="1"/>
  <c r="I298" i="1"/>
  <c r="J298" i="1" s="1"/>
  <c r="I299" i="1"/>
  <c r="J299" i="1" s="1"/>
  <c r="I300" i="1"/>
  <c r="I301" i="1"/>
  <c r="I302" i="1"/>
  <c r="J302" i="1" s="1"/>
  <c r="I303" i="1"/>
  <c r="J303" i="1" s="1"/>
  <c r="I304" i="1"/>
  <c r="I305" i="1"/>
  <c r="I306" i="1"/>
  <c r="J306" i="1" s="1"/>
  <c r="I307" i="1"/>
  <c r="I308" i="1"/>
  <c r="I309" i="1"/>
  <c r="I310" i="1"/>
  <c r="J310" i="1" s="1"/>
  <c r="I311" i="1"/>
  <c r="I312" i="1"/>
  <c r="I313" i="1"/>
  <c r="J313" i="1" s="1"/>
  <c r="I314" i="1"/>
  <c r="J314" i="1" s="1"/>
  <c r="I315" i="1"/>
  <c r="J315" i="1" s="1"/>
  <c r="I316" i="1"/>
  <c r="I317" i="1"/>
  <c r="I318" i="1"/>
  <c r="J318" i="1" s="1"/>
  <c r="I319" i="1"/>
  <c r="J319" i="1" s="1"/>
  <c r="I320" i="1"/>
  <c r="I321" i="1"/>
  <c r="I322" i="1"/>
  <c r="J322" i="1" s="1"/>
  <c r="I323" i="1"/>
  <c r="I324" i="1"/>
  <c r="I325" i="1"/>
  <c r="I326" i="1"/>
  <c r="J326" i="1" s="1"/>
  <c r="I327" i="1"/>
  <c r="I328" i="1"/>
  <c r="I329" i="1"/>
  <c r="J329" i="1" s="1"/>
  <c r="I330" i="1"/>
  <c r="J330" i="1" s="1"/>
  <c r="I331" i="1"/>
  <c r="J331" i="1" s="1"/>
  <c r="I332" i="1"/>
  <c r="I333" i="1"/>
  <c r="I334" i="1"/>
  <c r="J334" i="1" s="1"/>
  <c r="I335" i="1"/>
  <c r="J335" i="1" s="1"/>
  <c r="I336" i="1"/>
  <c r="I337" i="1"/>
  <c r="I338" i="1"/>
  <c r="J338" i="1" s="1"/>
  <c r="I339" i="1"/>
  <c r="I340" i="1"/>
  <c r="I341" i="1"/>
  <c r="I342" i="1"/>
  <c r="J342" i="1" s="1"/>
  <c r="I343" i="1"/>
  <c r="I344" i="1"/>
  <c r="I345" i="1"/>
  <c r="J345" i="1" s="1"/>
  <c r="I346" i="1"/>
  <c r="J346" i="1" s="1"/>
  <c r="I347" i="1"/>
  <c r="I348" i="1"/>
  <c r="I349" i="1"/>
  <c r="J349" i="1" s="1"/>
  <c r="I350" i="1"/>
  <c r="J350" i="1" s="1"/>
  <c r="I351" i="1"/>
  <c r="I352" i="1"/>
  <c r="I353" i="1"/>
  <c r="J353" i="1" s="1"/>
  <c r="I354" i="1"/>
  <c r="J354" i="1" s="1"/>
  <c r="I355" i="1"/>
  <c r="I356" i="1"/>
  <c r="I357" i="1"/>
  <c r="J357" i="1" s="1"/>
  <c r="I358" i="1"/>
  <c r="J358" i="1" s="1"/>
  <c r="I359" i="1"/>
  <c r="I360" i="1"/>
  <c r="I361" i="1"/>
  <c r="J361" i="1" s="1"/>
  <c r="I362" i="1"/>
  <c r="J362" i="1" s="1"/>
  <c r="I363" i="1"/>
  <c r="I364" i="1"/>
  <c r="I365" i="1"/>
  <c r="J365" i="1" s="1"/>
  <c r="I366" i="1"/>
  <c r="J366" i="1" s="1"/>
  <c r="I367" i="1"/>
  <c r="J367" i="1" s="1"/>
  <c r="I368" i="1"/>
  <c r="I369" i="1"/>
  <c r="J369" i="1" s="1"/>
  <c r="I370" i="1"/>
  <c r="J370" i="1" s="1"/>
  <c r="I371" i="1"/>
  <c r="I372" i="1"/>
  <c r="I373" i="1"/>
  <c r="J373" i="1" s="1"/>
  <c r="I374" i="1"/>
  <c r="J374" i="1" s="1"/>
  <c r="I375" i="1"/>
  <c r="I376" i="1"/>
  <c r="I377" i="1"/>
  <c r="J377" i="1" s="1"/>
  <c r="I378" i="1"/>
  <c r="J378" i="1" s="1"/>
  <c r="I379" i="1"/>
  <c r="J379" i="1" s="1"/>
  <c r="I380" i="1"/>
  <c r="I381" i="1"/>
  <c r="J381" i="1" s="1"/>
  <c r="I382" i="1"/>
  <c r="I383" i="1"/>
  <c r="I384" i="1"/>
  <c r="I385" i="1"/>
  <c r="J385" i="1" s="1"/>
  <c r="I386" i="1"/>
  <c r="J386" i="1" s="1"/>
  <c r="I387" i="1"/>
  <c r="I388" i="1"/>
  <c r="I389" i="1"/>
  <c r="J389" i="1" s="1"/>
  <c r="I390" i="1"/>
  <c r="J390" i="1" s="1"/>
  <c r="I391" i="1"/>
  <c r="I392" i="1"/>
  <c r="I393" i="1"/>
  <c r="J393" i="1" s="1"/>
  <c r="I394" i="1"/>
  <c r="J394" i="1" s="1"/>
  <c r="I395" i="1"/>
  <c r="J395" i="1" s="1"/>
  <c r="I396" i="1"/>
  <c r="I397" i="1"/>
  <c r="J397" i="1" s="1"/>
  <c r="I398" i="1"/>
  <c r="I399" i="1"/>
  <c r="I400" i="1"/>
  <c r="I401" i="1"/>
  <c r="J401" i="1" s="1"/>
  <c r="I402" i="1"/>
  <c r="J402" i="1" s="1"/>
  <c r="I403" i="1"/>
  <c r="I404" i="1"/>
  <c r="I405" i="1"/>
  <c r="J405" i="1" s="1"/>
  <c r="I406" i="1"/>
  <c r="J406" i="1" s="1"/>
  <c r="I407" i="1"/>
  <c r="I408" i="1"/>
  <c r="I409" i="1"/>
  <c r="J409" i="1" s="1"/>
  <c r="I410" i="1"/>
  <c r="J410" i="1" s="1"/>
  <c r="I411" i="1"/>
  <c r="J411" i="1" s="1"/>
  <c r="I412" i="1"/>
  <c r="I413" i="1"/>
  <c r="J413" i="1" s="1"/>
  <c r="I414" i="1"/>
  <c r="I415" i="1"/>
  <c r="I416" i="1"/>
  <c r="I417" i="1"/>
  <c r="J417" i="1" s="1"/>
  <c r="I418" i="1"/>
  <c r="J418" i="1" s="1"/>
  <c r="I419" i="1"/>
  <c r="I420" i="1"/>
  <c r="I421" i="1"/>
  <c r="J421" i="1" s="1"/>
  <c r="I422" i="1"/>
  <c r="J422" i="1" s="1"/>
  <c r="I423" i="1"/>
  <c r="I424" i="1"/>
  <c r="I425" i="1"/>
  <c r="J425" i="1" s="1"/>
  <c r="I426" i="1"/>
  <c r="J426" i="1" s="1"/>
  <c r="I427" i="1"/>
  <c r="J427" i="1" s="1"/>
  <c r="I428" i="1"/>
  <c r="I429" i="1"/>
  <c r="J429" i="1" s="1"/>
  <c r="I430" i="1"/>
  <c r="I431" i="1"/>
  <c r="I432" i="1"/>
  <c r="I433" i="1"/>
  <c r="J433" i="1" s="1"/>
  <c r="I434" i="1"/>
  <c r="J434" i="1" s="1"/>
  <c r="I435" i="1"/>
  <c r="I436" i="1"/>
  <c r="I437" i="1"/>
  <c r="J437" i="1" s="1"/>
  <c r="I438" i="1"/>
  <c r="J438" i="1" s="1"/>
  <c r="I439" i="1"/>
  <c r="I440" i="1"/>
  <c r="I441" i="1"/>
  <c r="J441" i="1" s="1"/>
  <c r="I442" i="1"/>
  <c r="J442" i="1" s="1"/>
  <c r="I443" i="1"/>
  <c r="J443" i="1" s="1"/>
  <c r="I444" i="1"/>
  <c r="I445" i="1"/>
  <c r="J445" i="1" s="1"/>
  <c r="I446" i="1"/>
  <c r="I447" i="1"/>
  <c r="I448" i="1"/>
  <c r="I449" i="1"/>
  <c r="J449" i="1" s="1"/>
  <c r="I450" i="1"/>
  <c r="J450" i="1" s="1"/>
  <c r="I451" i="1"/>
  <c r="I452" i="1"/>
  <c r="I453" i="1"/>
  <c r="J453" i="1" s="1"/>
  <c r="I454" i="1"/>
  <c r="J454" i="1" s="1"/>
  <c r="I455" i="1"/>
  <c r="I456" i="1"/>
  <c r="I457" i="1"/>
  <c r="J457" i="1" s="1"/>
  <c r="I458" i="1"/>
  <c r="J458" i="1" s="1"/>
  <c r="I459" i="1"/>
  <c r="J459" i="1" s="1"/>
  <c r="I460" i="1"/>
  <c r="I461" i="1"/>
  <c r="J461" i="1" s="1"/>
  <c r="I462" i="1"/>
  <c r="I463" i="1"/>
  <c r="I464" i="1"/>
  <c r="I465" i="1"/>
  <c r="J465" i="1" s="1"/>
  <c r="I466" i="1"/>
  <c r="J466" i="1" s="1"/>
  <c r="I467" i="1"/>
  <c r="I468" i="1"/>
  <c r="I469" i="1"/>
  <c r="J469" i="1" s="1"/>
  <c r="I470" i="1"/>
  <c r="J470" i="1" s="1"/>
  <c r="I471" i="1"/>
  <c r="I472" i="1"/>
  <c r="I473" i="1"/>
  <c r="J473" i="1" s="1"/>
  <c r="I474" i="1"/>
  <c r="J474" i="1" s="1"/>
  <c r="I475" i="1"/>
  <c r="J475" i="1" s="1"/>
  <c r="I476" i="1"/>
  <c r="I477" i="1"/>
  <c r="J477" i="1" s="1"/>
  <c r="I478" i="1"/>
  <c r="I479" i="1"/>
  <c r="I480" i="1"/>
  <c r="I481" i="1"/>
  <c r="J481" i="1" s="1"/>
  <c r="I482" i="1"/>
  <c r="J482" i="1" s="1"/>
  <c r="I483" i="1"/>
  <c r="I484" i="1"/>
  <c r="I485" i="1"/>
  <c r="J485" i="1" s="1"/>
  <c r="I486" i="1"/>
  <c r="J486" i="1" s="1"/>
  <c r="I487" i="1"/>
  <c r="I488" i="1"/>
  <c r="I489" i="1"/>
  <c r="J489" i="1" s="1"/>
  <c r="I490" i="1"/>
  <c r="J490" i="1" s="1"/>
  <c r="I491" i="1"/>
  <c r="J491" i="1" s="1"/>
  <c r="I492" i="1"/>
  <c r="I493" i="1"/>
  <c r="J493" i="1" s="1"/>
  <c r="I494" i="1"/>
  <c r="I495" i="1"/>
  <c r="I496" i="1"/>
  <c r="I497" i="1"/>
  <c r="J497" i="1" s="1"/>
  <c r="I498" i="1"/>
  <c r="J498" i="1" s="1"/>
  <c r="I499" i="1"/>
  <c r="I500" i="1"/>
  <c r="I501" i="1"/>
  <c r="J501" i="1" s="1"/>
  <c r="I2" i="1"/>
  <c r="J2" i="1" s="1"/>
  <c r="J3" i="1"/>
  <c r="J4" i="1"/>
  <c r="J5" i="1"/>
  <c r="J7" i="1"/>
  <c r="J8" i="1"/>
  <c r="J11" i="1"/>
  <c r="J12" i="1"/>
  <c r="J13" i="1"/>
  <c r="J15" i="1"/>
  <c r="J16" i="1"/>
  <c r="J17" i="1"/>
  <c r="J19" i="1"/>
  <c r="J20" i="1"/>
  <c r="J21" i="1"/>
  <c r="J23" i="1"/>
  <c r="J24" i="1"/>
  <c r="J27" i="1"/>
  <c r="J28" i="1"/>
  <c r="J29" i="1"/>
  <c r="J31" i="1"/>
  <c r="J32" i="1"/>
  <c r="J33" i="1"/>
  <c r="J35" i="1"/>
  <c r="J36" i="1"/>
  <c r="J37" i="1"/>
  <c r="J39" i="1"/>
  <c r="J40" i="1"/>
  <c r="J43" i="1"/>
  <c r="J44" i="1"/>
  <c r="J45" i="1"/>
  <c r="J47" i="1"/>
  <c r="J48" i="1"/>
  <c r="J49" i="1"/>
  <c r="J51" i="1"/>
  <c r="J52" i="1"/>
  <c r="J53" i="1"/>
  <c r="J55" i="1"/>
  <c r="J56" i="1"/>
  <c r="J59" i="1"/>
  <c r="J60" i="1"/>
  <c r="J61" i="1"/>
  <c r="J63" i="1"/>
  <c r="J64" i="1"/>
  <c r="J65" i="1"/>
  <c r="J67" i="1"/>
  <c r="J68" i="1"/>
  <c r="J69" i="1"/>
  <c r="J71" i="1"/>
  <c r="J72" i="1"/>
  <c r="J75" i="1"/>
  <c r="J76" i="1"/>
  <c r="J77" i="1"/>
  <c r="J79" i="1"/>
  <c r="J80" i="1"/>
  <c r="J81" i="1"/>
  <c r="J83" i="1"/>
  <c r="J84" i="1"/>
  <c r="J85" i="1"/>
  <c r="J87" i="1"/>
  <c r="J88" i="1"/>
  <c r="J91" i="1"/>
  <c r="J92" i="1"/>
  <c r="J93" i="1"/>
  <c r="J95" i="1"/>
  <c r="J96" i="1"/>
  <c r="J97" i="1"/>
  <c r="J99" i="1"/>
  <c r="J100" i="1"/>
  <c r="J101" i="1"/>
  <c r="J103" i="1"/>
  <c r="J104" i="1"/>
  <c r="J107" i="1"/>
  <c r="J108" i="1"/>
  <c r="J109" i="1"/>
  <c r="J111" i="1"/>
  <c r="J112" i="1"/>
  <c r="J113" i="1"/>
  <c r="J115" i="1"/>
  <c r="J116" i="1"/>
  <c r="J117" i="1"/>
  <c r="J119" i="1"/>
  <c r="J120" i="1"/>
  <c r="J123" i="1"/>
  <c r="J124" i="1"/>
  <c r="J125" i="1"/>
  <c r="J127" i="1"/>
  <c r="J128" i="1"/>
  <c r="J129" i="1"/>
  <c r="J131" i="1"/>
  <c r="J132" i="1"/>
  <c r="J133" i="1"/>
  <c r="J135" i="1"/>
  <c r="J136" i="1"/>
  <c r="J139" i="1"/>
  <c r="J140" i="1"/>
  <c r="J141" i="1"/>
  <c r="J143" i="1"/>
  <c r="J144" i="1"/>
  <c r="J145" i="1"/>
  <c r="J147" i="1"/>
  <c r="J148" i="1"/>
  <c r="J149" i="1"/>
  <c r="J151" i="1"/>
  <c r="J152" i="1"/>
  <c r="J155" i="1"/>
  <c r="J156" i="1"/>
  <c r="J157" i="1"/>
  <c r="J159" i="1"/>
  <c r="J160" i="1"/>
  <c r="J161" i="1"/>
  <c r="J163" i="1"/>
  <c r="J164" i="1"/>
  <c r="J165" i="1"/>
  <c r="J167" i="1"/>
  <c r="J168" i="1"/>
  <c r="J171" i="1"/>
  <c r="J172" i="1"/>
  <c r="J173" i="1"/>
  <c r="J175" i="1"/>
  <c r="J176" i="1"/>
  <c r="J177" i="1"/>
  <c r="J179" i="1"/>
  <c r="J180" i="1"/>
  <c r="J181" i="1"/>
  <c r="J183" i="1"/>
  <c r="J184" i="1"/>
  <c r="J187" i="1"/>
  <c r="J188" i="1"/>
  <c r="J189" i="1"/>
  <c r="J191" i="1"/>
  <c r="J192" i="1"/>
  <c r="J193" i="1"/>
  <c r="J195" i="1"/>
  <c r="J196" i="1"/>
  <c r="J197" i="1"/>
  <c r="J199" i="1"/>
  <c r="J200" i="1"/>
  <c r="J203" i="1"/>
  <c r="J204" i="1"/>
  <c r="J205" i="1"/>
  <c r="J208" i="1"/>
  <c r="J209" i="1"/>
  <c r="J211" i="1"/>
  <c r="J212" i="1"/>
  <c r="J213" i="1"/>
  <c r="J215" i="1"/>
  <c r="J216" i="1"/>
  <c r="J220" i="1"/>
  <c r="J221" i="1"/>
  <c r="J224" i="1"/>
  <c r="J225" i="1"/>
  <c r="J227" i="1"/>
  <c r="J228" i="1"/>
  <c r="J229" i="1"/>
  <c r="J231" i="1"/>
  <c r="J232" i="1"/>
  <c r="J236" i="1"/>
  <c r="J237" i="1"/>
  <c r="J240" i="1"/>
  <c r="J241" i="1"/>
  <c r="J243" i="1"/>
  <c r="J244" i="1"/>
  <c r="J245" i="1"/>
  <c r="J247" i="1"/>
  <c r="J248" i="1"/>
  <c r="J252" i="1"/>
  <c r="J253" i="1"/>
  <c r="J256" i="1"/>
  <c r="J257" i="1"/>
  <c r="J259" i="1"/>
  <c r="J260" i="1"/>
  <c r="J261" i="1"/>
  <c r="J263" i="1"/>
  <c r="J264" i="1"/>
  <c r="J268" i="1"/>
  <c r="J269" i="1"/>
  <c r="J272" i="1"/>
  <c r="J273" i="1"/>
  <c r="J275" i="1"/>
  <c r="J276" i="1"/>
  <c r="J277" i="1"/>
  <c r="J279" i="1"/>
  <c r="J280" i="1"/>
  <c r="J284" i="1"/>
  <c r="J285" i="1"/>
  <c r="J288" i="1"/>
  <c r="J289" i="1"/>
  <c r="J291" i="1"/>
  <c r="J292" i="1"/>
  <c r="J293" i="1"/>
  <c r="J295" i="1"/>
  <c r="J296" i="1"/>
  <c r="J300" i="1"/>
  <c r="J301" i="1"/>
  <c r="J304" i="1"/>
  <c r="J305" i="1"/>
  <c r="J307" i="1"/>
  <c r="J308" i="1"/>
  <c r="J309" i="1"/>
  <c r="J311" i="1"/>
  <c r="J312" i="1"/>
  <c r="J316" i="1"/>
  <c r="J317" i="1"/>
  <c r="J320" i="1"/>
  <c r="J321" i="1"/>
  <c r="J323" i="1"/>
  <c r="J324" i="1"/>
  <c r="J325" i="1"/>
  <c r="J327" i="1"/>
  <c r="J328" i="1"/>
  <c r="J332" i="1"/>
  <c r="J333" i="1"/>
  <c r="J336" i="1"/>
  <c r="J337" i="1"/>
  <c r="J339" i="1"/>
  <c r="J340" i="1"/>
  <c r="J341" i="1"/>
  <c r="J343" i="1"/>
  <c r="J344" i="1"/>
  <c r="J347" i="1"/>
  <c r="J348" i="1"/>
  <c r="J351" i="1"/>
  <c r="J352" i="1"/>
  <c r="J355" i="1"/>
  <c r="J356" i="1"/>
  <c r="J359" i="1"/>
  <c r="J360" i="1"/>
  <c r="J363" i="1"/>
  <c r="J364" i="1"/>
  <c r="J368" i="1"/>
  <c r="J371" i="1"/>
  <c r="J372" i="1"/>
  <c r="J375" i="1"/>
  <c r="J376" i="1"/>
  <c r="J380" i="1"/>
  <c r="J382" i="1"/>
  <c r="J383" i="1"/>
  <c r="J384" i="1"/>
  <c r="J387" i="1"/>
  <c r="J388" i="1"/>
  <c r="J391" i="1"/>
  <c r="J392" i="1"/>
  <c r="J396" i="1"/>
  <c r="J398" i="1"/>
  <c r="J399" i="1"/>
  <c r="J400" i="1"/>
  <c r="J403" i="1"/>
  <c r="J404" i="1"/>
  <c r="J407" i="1"/>
  <c r="J408" i="1"/>
  <c r="J412" i="1"/>
  <c r="J414" i="1"/>
  <c r="J415" i="1"/>
  <c r="J416" i="1"/>
  <c r="J419" i="1"/>
  <c r="J420" i="1"/>
  <c r="J423" i="1"/>
  <c r="J424" i="1"/>
  <c r="J428" i="1"/>
  <c r="J430" i="1"/>
  <c r="J431" i="1"/>
  <c r="J432" i="1"/>
  <c r="J435" i="1"/>
  <c r="J436" i="1"/>
  <c r="J439" i="1"/>
  <c r="J440" i="1"/>
  <c r="J444" i="1"/>
  <c r="J446" i="1"/>
  <c r="J447" i="1"/>
  <c r="J448" i="1"/>
  <c r="J451" i="1"/>
  <c r="J452" i="1"/>
  <c r="J455" i="1"/>
  <c r="J456" i="1"/>
  <c r="J460" i="1"/>
  <c r="J462" i="1"/>
  <c r="J463" i="1"/>
  <c r="J464" i="1"/>
  <c r="J467" i="1"/>
  <c r="J468" i="1"/>
  <c r="J471" i="1"/>
  <c r="J472" i="1"/>
  <c r="J476" i="1"/>
  <c r="J478" i="1"/>
  <c r="J479" i="1"/>
  <c r="J480" i="1"/>
  <c r="J483" i="1"/>
  <c r="J484" i="1"/>
  <c r="J487" i="1"/>
  <c r="J488" i="1"/>
  <c r="J492" i="1"/>
  <c r="J494" i="1"/>
  <c r="J495" i="1"/>
  <c r="J496" i="1"/>
  <c r="J499" i="1"/>
  <c r="J500" i="1"/>
</calcChain>
</file>

<file path=xl/sharedStrings.xml><?xml version="1.0" encoding="utf-8"?>
<sst xmlns="http://schemas.openxmlformats.org/spreadsheetml/2006/main" count="1527" uniqueCount="35">
  <si>
    <t>Date</t>
  </si>
  <si>
    <t>Sales Zone</t>
  </si>
  <si>
    <t>Code</t>
  </si>
  <si>
    <t>Sales Man</t>
  </si>
  <si>
    <t>Fruit</t>
  </si>
  <si>
    <t>Quantity</t>
  </si>
  <si>
    <t>Free Quantity</t>
  </si>
  <si>
    <t>Rate/Kg</t>
  </si>
  <si>
    <t>Discount/Kg</t>
  </si>
  <si>
    <t>Price</t>
  </si>
  <si>
    <t>South</t>
  </si>
  <si>
    <t>Rupak Agarwal</t>
  </si>
  <si>
    <t>Peach</t>
  </si>
  <si>
    <t>North</t>
  </si>
  <si>
    <t>Priyam Chatterjee</t>
  </si>
  <si>
    <t>East</t>
  </si>
  <si>
    <t>Dipak Kumar</t>
  </si>
  <si>
    <t>Banana</t>
  </si>
  <si>
    <t>Jitesh Gupta</t>
  </si>
  <si>
    <t>Apple</t>
  </si>
  <si>
    <t>Lemon</t>
  </si>
  <si>
    <t>Mango</t>
  </si>
  <si>
    <t>Strawberry</t>
  </si>
  <si>
    <t>Suresh Hazra</t>
  </si>
  <si>
    <t>Passionfruit</t>
  </si>
  <si>
    <t>Lime</t>
  </si>
  <si>
    <t>Orange</t>
  </si>
  <si>
    <t>Rakesh Singh</t>
  </si>
  <si>
    <t>Melon</t>
  </si>
  <si>
    <t>Fill the blank cells with proper formula</t>
  </si>
  <si>
    <t>1. Fetch the data of Discount column from the table range L1:M6.</t>
  </si>
  <si>
    <t xml:space="preserve">2. Find out the Salesman Name, Fruit and Price in cell range M10:O10 for the given Code in one shot. </t>
  </si>
  <si>
    <t>3. Find out the Rate/Kg in cell M14 for the given Code.</t>
  </si>
  <si>
    <t xml:space="preserve">4. Find out the Salesman Name and Free Quantity in cell range M18:N21 against the given Code in one shot. </t>
  </si>
  <si>
    <t>Refer-Database 1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</si>
</sst>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22"/>
      <color rgb="FF002060"/>
      <name val="Monotype Corsiva"/>
      <family val="4"/>
    </font>
    <font>
      <b/>
      <sz val="22"/>
      <color rgb="FF0070C0"/>
      <name val="Monotype Corsiva"/>
      <family val="4"/>
    </font>
    <font>
      <b/>
      <sz val="12"/>
      <color rgb="FF00206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2" fillId="3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workbookViewId="0">
      <selection activeCell="E14" sqref="E14"/>
    </sheetView>
  </sheetViews>
  <sheetFormatPr defaultRowHeight="15" x14ac:dyDescent="0.25"/>
  <cols>
    <col min="2" max="2" width="16.42578125" bestFit="1" customWidth="1"/>
    <col min="3" max="3" width="16.28515625" bestFit="1" customWidth="1"/>
    <col min="5" max="5" width="10.42578125" customWidth="1"/>
  </cols>
  <sheetData>
    <row r="1" spans="1:15" ht="29.25" x14ac:dyDescent="0.5">
      <c r="C1" s="10" t="s">
        <v>29</v>
      </c>
      <c r="D1" s="10"/>
      <c r="E1" s="10"/>
      <c r="F1" s="10"/>
      <c r="G1" s="10"/>
      <c r="H1" s="10"/>
      <c r="I1" s="10"/>
      <c r="J1" s="5"/>
      <c r="K1" s="5"/>
      <c r="L1" s="5"/>
      <c r="M1" s="5"/>
      <c r="N1" s="5"/>
      <c r="O1" s="5"/>
    </row>
    <row r="7" spans="1:15" ht="15.75" x14ac:dyDescent="0.25">
      <c r="A7" s="6" t="s">
        <v>34</v>
      </c>
    </row>
    <row r="8" spans="1:15" ht="16.5" x14ac:dyDescent="0.3">
      <c r="A8" s="1" t="s">
        <v>30</v>
      </c>
    </row>
    <row r="9" spans="1:15" ht="16.5" x14ac:dyDescent="0.3">
      <c r="A9" s="1" t="s">
        <v>31</v>
      </c>
    </row>
    <row r="10" spans="1:15" ht="16.5" x14ac:dyDescent="0.3">
      <c r="A10" s="1" t="s">
        <v>32</v>
      </c>
    </row>
    <row r="11" spans="1:15" ht="16.5" x14ac:dyDescent="0.3">
      <c r="A11" s="1" t="s">
        <v>33</v>
      </c>
    </row>
    <row r="12" spans="1:15" ht="16.5" x14ac:dyDescent="0.3">
      <c r="A12" s="1"/>
    </row>
    <row r="13" spans="1:15" ht="16.5" x14ac:dyDescent="0.3">
      <c r="A13" s="1"/>
    </row>
    <row r="14" spans="1:15" ht="16.5" x14ac:dyDescent="0.3">
      <c r="A14" s="1"/>
    </row>
    <row r="15" spans="1:15" ht="16.5" x14ac:dyDescent="0.3">
      <c r="A15" s="1"/>
    </row>
  </sheetData>
  <mergeCells count="1">
    <mergeCell ref="C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1"/>
  <sheetViews>
    <sheetView showGridLines="0" tabSelected="1" topLeftCell="A3" workbookViewId="0">
      <selection activeCell="N22" sqref="N22"/>
    </sheetView>
  </sheetViews>
  <sheetFormatPr defaultRowHeight="15" x14ac:dyDescent="0.25"/>
  <cols>
    <col min="1" max="1" width="12.7109375" bestFit="1" customWidth="1"/>
    <col min="2" max="2" width="11.85546875" bestFit="1" customWidth="1"/>
    <col min="3" max="3" width="6.140625" bestFit="1" customWidth="1"/>
    <col min="4" max="4" width="18.5703125" bestFit="1" customWidth="1"/>
    <col min="5" max="5" width="12.28515625" bestFit="1" customWidth="1"/>
    <col min="6" max="6" width="9.85546875" bestFit="1" customWidth="1"/>
    <col min="7" max="7" width="14.85546875" bestFit="1" customWidth="1"/>
    <col min="8" max="8" width="9" bestFit="1" customWidth="1"/>
    <col min="9" max="9" width="13.5703125" bestFit="1" customWidth="1"/>
    <col min="10" max="10" width="6.7109375" bestFit="1" customWidth="1"/>
    <col min="11" max="11" width="2.85546875" customWidth="1"/>
    <col min="13" max="13" width="17.28515625" bestFit="1" customWidth="1"/>
    <col min="14" max="14" width="14.85546875" bestFit="1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s="3" t="s">
        <v>7</v>
      </c>
      <c r="M1" s="3" t="s">
        <v>8</v>
      </c>
    </row>
    <row r="2" spans="1:15" ht="16.5" x14ac:dyDescent="0.3">
      <c r="A2" s="4">
        <v>42752</v>
      </c>
      <c r="B2" s="2" t="s">
        <v>10</v>
      </c>
      <c r="C2" s="2">
        <v>1000</v>
      </c>
      <c r="D2" s="2" t="s">
        <v>11</v>
      </c>
      <c r="E2" s="2" t="s">
        <v>12</v>
      </c>
      <c r="F2" s="2">
        <v>70</v>
      </c>
      <c r="G2" s="2">
        <v>1</v>
      </c>
      <c r="H2" s="2">
        <v>115</v>
      </c>
      <c r="I2" s="2">
        <f>IF(H2=0,H2*0%,IF(H2=35,H2*2%,IF(H2=60,H2*5%,IF(H2=100,H2*6%,IF(H2=140,H2*8%,)))))</f>
        <v>0</v>
      </c>
      <c r="J2" s="2">
        <f>(H2-I2)*F2</f>
        <v>8050</v>
      </c>
      <c r="L2" s="2">
        <v>0</v>
      </c>
      <c r="M2" s="2">
        <v>0</v>
      </c>
    </row>
    <row r="3" spans="1:15" ht="16.5" x14ac:dyDescent="0.3">
      <c r="A3" s="4">
        <v>42847</v>
      </c>
      <c r="B3" s="2" t="s">
        <v>13</v>
      </c>
      <c r="C3" s="2">
        <v>1001</v>
      </c>
      <c r="D3" s="2" t="s">
        <v>14</v>
      </c>
      <c r="E3" s="2" t="s">
        <v>12</v>
      </c>
      <c r="F3" s="2">
        <v>50</v>
      </c>
      <c r="G3" s="2">
        <v>1</v>
      </c>
      <c r="H3" s="2">
        <v>60</v>
      </c>
      <c r="I3" s="2">
        <f>IF(H3=0,H3*0%,IF(H3=35,H3*2%,IF(H3=60,H3*5%,IF(H3=100,H3*6%,IF(H3=140,H3*8%,)))))</f>
        <v>3</v>
      </c>
      <c r="J3" s="2">
        <f>(H3-I3)*F3</f>
        <v>2850</v>
      </c>
      <c r="L3" s="2">
        <v>35</v>
      </c>
      <c r="M3" s="2">
        <v>2</v>
      </c>
    </row>
    <row r="4" spans="1:15" ht="16.5" x14ac:dyDescent="0.3">
      <c r="A4" s="4">
        <v>42913</v>
      </c>
      <c r="B4" s="2" t="s">
        <v>15</v>
      </c>
      <c r="C4" s="2">
        <v>1002</v>
      </c>
      <c r="D4" s="2" t="s">
        <v>16</v>
      </c>
      <c r="E4" s="2" t="s">
        <v>12</v>
      </c>
      <c r="F4" s="2">
        <v>30</v>
      </c>
      <c r="G4" s="2">
        <v>1</v>
      </c>
      <c r="H4" s="2">
        <v>110</v>
      </c>
      <c r="I4" s="2">
        <f>IF(H4=0,H4*0%,IF(H4=35,H4*2%,IF(H4=60,H4*5%,IF(H4=100,H4*6%,IF(H4=140,H4*8%,)))))</f>
        <v>0</v>
      </c>
      <c r="J4" s="2">
        <f>(H4-I4)*F4</f>
        <v>3300</v>
      </c>
      <c r="L4" s="2">
        <v>60</v>
      </c>
      <c r="M4" s="2">
        <v>5</v>
      </c>
    </row>
    <row r="5" spans="1:15" ht="16.5" x14ac:dyDescent="0.3">
      <c r="A5" s="4">
        <v>42887</v>
      </c>
      <c r="B5" s="2" t="s">
        <v>10</v>
      </c>
      <c r="C5" s="2">
        <v>1003</v>
      </c>
      <c r="D5" s="2" t="s">
        <v>16</v>
      </c>
      <c r="E5" s="2" t="s">
        <v>17</v>
      </c>
      <c r="F5" s="2">
        <v>70</v>
      </c>
      <c r="G5" s="2">
        <v>1</v>
      </c>
      <c r="H5" s="2">
        <v>40</v>
      </c>
      <c r="I5" s="2">
        <f>IF(H5=0,H5*0%,IF(H5=35,H5*2%,IF(H5=60,H5*5%,IF(H5=100,H5*6%,IF(H5=140,H5*8%,)))))</f>
        <v>0</v>
      </c>
      <c r="J5" s="2">
        <f>(H5-I5)*F5</f>
        <v>2800</v>
      </c>
      <c r="L5" s="2">
        <v>100</v>
      </c>
      <c r="M5" s="2">
        <v>6</v>
      </c>
    </row>
    <row r="6" spans="1:15" ht="16.5" x14ac:dyDescent="0.3">
      <c r="A6" s="4">
        <v>42787</v>
      </c>
      <c r="B6" s="2" t="s">
        <v>13</v>
      </c>
      <c r="C6" s="2">
        <v>1004</v>
      </c>
      <c r="D6" s="2" t="s">
        <v>18</v>
      </c>
      <c r="E6" s="2" t="s">
        <v>19</v>
      </c>
      <c r="F6" s="2">
        <v>50</v>
      </c>
      <c r="G6" s="2">
        <v>1</v>
      </c>
      <c r="H6" s="2">
        <v>40</v>
      </c>
      <c r="I6" s="2">
        <f>IF(H6=0,H6*0%,IF(H6=35,H6*2%,IF(H6=60,H6*5%,IF(H6=100,H6*6%,IF(H6=140,H6*8%,)))))</f>
        <v>0</v>
      </c>
      <c r="J6" s="2">
        <f>(H6-I6)*F6</f>
        <v>2000</v>
      </c>
      <c r="L6" s="2">
        <v>140</v>
      </c>
      <c r="M6" s="2">
        <v>8</v>
      </c>
    </row>
    <row r="7" spans="1:15" ht="16.5" x14ac:dyDescent="0.3">
      <c r="A7" s="4">
        <v>42843</v>
      </c>
      <c r="B7" s="2" t="s">
        <v>13</v>
      </c>
      <c r="C7" s="2">
        <v>1005</v>
      </c>
      <c r="D7" s="2" t="s">
        <v>16</v>
      </c>
      <c r="E7" s="2" t="s">
        <v>20</v>
      </c>
      <c r="F7" s="2">
        <v>50</v>
      </c>
      <c r="G7" s="2">
        <v>1</v>
      </c>
      <c r="H7" s="2">
        <v>90</v>
      </c>
      <c r="I7" s="2">
        <f>IF(H7=0,H7*0%,IF(H7=35,H7*2%,IF(H7=60,H7*5%,IF(H7=100,H7*6%,IF(H7=140,H7*8%,)))))</f>
        <v>0</v>
      </c>
      <c r="J7" s="2">
        <f>(H7-I7)*F7</f>
        <v>4500</v>
      </c>
    </row>
    <row r="8" spans="1:15" ht="16.5" x14ac:dyDescent="0.3">
      <c r="A8" s="4">
        <v>42883</v>
      </c>
      <c r="B8" s="2" t="s">
        <v>13</v>
      </c>
      <c r="C8" s="2">
        <v>1006</v>
      </c>
      <c r="D8" s="2" t="s">
        <v>14</v>
      </c>
      <c r="E8" s="2" t="s">
        <v>21</v>
      </c>
      <c r="F8" s="2">
        <v>50</v>
      </c>
      <c r="G8" s="2">
        <v>1</v>
      </c>
      <c r="H8" s="2">
        <v>50</v>
      </c>
      <c r="I8" s="2">
        <f>IF(H8=0,H8*0%,IF(H8=35,H8*2%,IF(H8=60,H8*5%,IF(H8=100,H8*6%,IF(H8=140,H8*8%,)))))</f>
        <v>0</v>
      </c>
      <c r="J8" s="2">
        <f>(H8-I8)*F8</f>
        <v>2500</v>
      </c>
    </row>
    <row r="9" spans="1:15" ht="16.5" x14ac:dyDescent="0.3">
      <c r="A9" s="4">
        <v>42737</v>
      </c>
      <c r="B9" s="2" t="s">
        <v>15</v>
      </c>
      <c r="C9" s="2">
        <v>1007</v>
      </c>
      <c r="D9" s="2" t="s">
        <v>16</v>
      </c>
      <c r="E9" s="2" t="s">
        <v>22</v>
      </c>
      <c r="F9" s="2">
        <v>30</v>
      </c>
      <c r="G9" s="2">
        <v>1</v>
      </c>
      <c r="H9" s="2">
        <v>160</v>
      </c>
      <c r="I9" s="2">
        <f>IF(H9=0,H9*0%,IF(H9=35,H9*2%,IF(H9=60,H9*5%,IF(H9=100,H9*6%,IF(H9=140,H9*8%,)))))</f>
        <v>0</v>
      </c>
      <c r="J9" s="2">
        <f>(H9-I9)*F9</f>
        <v>4800</v>
      </c>
      <c r="L9" s="7" t="s">
        <v>2</v>
      </c>
      <c r="M9" s="7" t="s">
        <v>3</v>
      </c>
      <c r="N9" s="7" t="s">
        <v>4</v>
      </c>
      <c r="O9" s="3" t="s">
        <v>9</v>
      </c>
    </row>
    <row r="10" spans="1:15" ht="16.5" x14ac:dyDescent="0.3">
      <c r="A10" s="4">
        <v>42883</v>
      </c>
      <c r="B10" s="2" t="s">
        <v>10</v>
      </c>
      <c r="C10" s="2">
        <v>1008</v>
      </c>
      <c r="D10" s="2" t="s">
        <v>23</v>
      </c>
      <c r="E10" s="2" t="s">
        <v>24</v>
      </c>
      <c r="F10" s="2">
        <v>70</v>
      </c>
      <c r="G10" s="2">
        <v>1</v>
      </c>
      <c r="H10" s="2">
        <v>105</v>
      </c>
      <c r="I10" s="2">
        <f>IF(H10=0,H10*0%,IF(H10=35,H10*2%,IF(H10=60,H10*5%,IF(H10=100,H10*6%,IF(H10=140,H10*8%,)))))</f>
        <v>0</v>
      </c>
      <c r="J10" s="2">
        <f>(H10-I10)*F10</f>
        <v>7350</v>
      </c>
      <c r="L10" s="2">
        <v>1014</v>
      </c>
      <c r="M10" s="2" t="str">
        <f>VLOOKUP(L10,'Database 1'!C2:J501,2,0)</f>
        <v>Dipak Kumar</v>
      </c>
      <c r="N10" s="2" t="str">
        <f>VLOOKUP(L10,'Database 1'!C2:J501,3,0)</f>
        <v>Orange</v>
      </c>
      <c r="O10" s="2">
        <f>VLOOKUP(L10,'Database 1'!C2:J501,4,0)</f>
        <v>50</v>
      </c>
    </row>
    <row r="11" spans="1:15" ht="16.5" x14ac:dyDescent="0.3">
      <c r="A11" s="4">
        <v>42786</v>
      </c>
      <c r="B11" s="2" t="s">
        <v>15</v>
      </c>
      <c r="C11" s="2">
        <v>1009</v>
      </c>
      <c r="D11" s="2" t="s">
        <v>14</v>
      </c>
      <c r="E11" s="2" t="s">
        <v>19</v>
      </c>
      <c r="F11" s="2">
        <v>30</v>
      </c>
      <c r="G11" s="2">
        <v>1</v>
      </c>
      <c r="H11" s="2">
        <v>60</v>
      </c>
      <c r="I11" s="2">
        <f>IF(H11=0,H11*0%,IF(H11=35,H11*2%,IF(H11=60,H11*5%,IF(H11=100,H11*6%,IF(H11=140,H11*8%,)))))</f>
        <v>3</v>
      </c>
      <c r="J11" s="2">
        <f>(H11-I11)*F11</f>
        <v>1710</v>
      </c>
    </row>
    <row r="12" spans="1:15" ht="16.5" x14ac:dyDescent="0.3">
      <c r="A12" s="4">
        <v>42896</v>
      </c>
      <c r="B12" s="2" t="s">
        <v>13</v>
      </c>
      <c r="C12" s="2">
        <v>1010</v>
      </c>
      <c r="D12" s="2" t="s">
        <v>23</v>
      </c>
      <c r="E12" s="2" t="s">
        <v>25</v>
      </c>
      <c r="F12" s="2">
        <v>50</v>
      </c>
      <c r="G12" s="2">
        <v>1</v>
      </c>
      <c r="H12" s="2">
        <v>160</v>
      </c>
      <c r="I12" s="2">
        <f>IF(H12=0,H12*0%,IF(H12=35,H12*2%,IF(H12=60,H12*5%,IF(H12=100,H12*6%,IF(H12=140,H12*8%,)))))</f>
        <v>0</v>
      </c>
      <c r="J12" s="2">
        <f>(H12-I12)*F12</f>
        <v>8000</v>
      </c>
    </row>
    <row r="13" spans="1:15" ht="16.5" x14ac:dyDescent="0.3">
      <c r="A13" s="4">
        <v>42910</v>
      </c>
      <c r="B13" s="2" t="s">
        <v>15</v>
      </c>
      <c r="C13" s="2">
        <v>1011</v>
      </c>
      <c r="D13" s="2" t="s">
        <v>18</v>
      </c>
      <c r="E13" s="2" t="s">
        <v>17</v>
      </c>
      <c r="F13" s="2">
        <v>30</v>
      </c>
      <c r="G13" s="2">
        <v>1</v>
      </c>
      <c r="H13" s="2">
        <v>35</v>
      </c>
      <c r="I13" s="2">
        <f>IF(H13=0,H13*0%,IF(H13=35,H13*2%,IF(H13=60,H13*5%,IF(H13=100,H13*6%,IF(H13=140,H13*8%,)))))</f>
        <v>0.70000000000000007</v>
      </c>
      <c r="J13" s="2">
        <f>(H13-I13)*F13</f>
        <v>1029</v>
      </c>
      <c r="L13" s="3" t="s">
        <v>2</v>
      </c>
      <c r="M13" s="3" t="s">
        <v>7</v>
      </c>
    </row>
    <row r="14" spans="1:15" ht="16.5" x14ac:dyDescent="0.3">
      <c r="A14" s="4">
        <v>42797</v>
      </c>
      <c r="B14" s="2" t="s">
        <v>15</v>
      </c>
      <c r="C14" s="2">
        <v>1012</v>
      </c>
      <c r="D14" s="2" t="s">
        <v>14</v>
      </c>
      <c r="E14" s="2" t="s">
        <v>20</v>
      </c>
      <c r="F14" s="2">
        <v>30</v>
      </c>
      <c r="G14" s="2">
        <v>1</v>
      </c>
      <c r="H14" s="2">
        <v>40</v>
      </c>
      <c r="I14" s="2">
        <f>IF(H14=0,H14*0%,IF(H14=35,H14*2%,IF(H14=60,H14*5%,IF(H14=100,H14*6%,IF(H14=140,H14*8%,)))))</f>
        <v>0</v>
      </c>
      <c r="J14" s="2">
        <f>(H14-I14)*F14</f>
        <v>1200</v>
      </c>
      <c r="L14" s="2">
        <v>1097</v>
      </c>
      <c r="M14" s="8">
        <f>VLOOKUP(L14,C2:J501,6,0)</f>
        <v>75</v>
      </c>
    </row>
    <row r="15" spans="1:15" ht="16.5" x14ac:dyDescent="0.3">
      <c r="A15" s="4">
        <v>42806</v>
      </c>
      <c r="B15" s="2" t="s">
        <v>15</v>
      </c>
      <c r="C15" s="2">
        <v>1013</v>
      </c>
      <c r="D15" s="2" t="s">
        <v>18</v>
      </c>
      <c r="E15" s="2" t="s">
        <v>21</v>
      </c>
      <c r="F15" s="2">
        <v>30</v>
      </c>
      <c r="G15" s="2">
        <v>1</v>
      </c>
      <c r="H15" s="2">
        <v>160</v>
      </c>
      <c r="I15" s="2">
        <f>IF(H15=0,H15*0%,IF(H15=35,H15*2%,IF(H15=60,H15*5%,IF(H15=100,H15*6%,IF(H15=140,H15*8%,)))))</f>
        <v>0</v>
      </c>
      <c r="J15" s="2">
        <f>(H15-I15)*F15</f>
        <v>4800</v>
      </c>
    </row>
    <row r="16" spans="1:15" ht="16.5" x14ac:dyDescent="0.3">
      <c r="A16" s="4">
        <v>42809</v>
      </c>
      <c r="B16" s="2" t="s">
        <v>13</v>
      </c>
      <c r="C16" s="2">
        <v>1014</v>
      </c>
      <c r="D16" s="2" t="s">
        <v>16</v>
      </c>
      <c r="E16" s="2" t="s">
        <v>26</v>
      </c>
      <c r="F16" s="2">
        <v>50</v>
      </c>
      <c r="G16" s="2">
        <v>1</v>
      </c>
      <c r="H16" s="2">
        <v>160</v>
      </c>
      <c r="I16" s="2">
        <f>IF(H16=0,H16*0%,IF(H16=35,H16*2%,IF(H16=60,H16*5%,IF(H16=100,H16*6%,IF(H16=140,H16*8%,)))))</f>
        <v>0</v>
      </c>
      <c r="J16" s="2">
        <f>(H16-I16)*F16</f>
        <v>8000</v>
      </c>
    </row>
    <row r="17" spans="1:14" ht="16.5" x14ac:dyDescent="0.3">
      <c r="A17" s="4">
        <v>42795</v>
      </c>
      <c r="B17" s="2" t="s">
        <v>10</v>
      </c>
      <c r="C17" s="2">
        <v>1015</v>
      </c>
      <c r="D17" s="2" t="s">
        <v>16</v>
      </c>
      <c r="E17" s="2" t="s">
        <v>20</v>
      </c>
      <c r="F17" s="2">
        <v>70</v>
      </c>
      <c r="G17" s="2">
        <v>3</v>
      </c>
      <c r="H17" s="2">
        <v>50</v>
      </c>
      <c r="I17" s="2">
        <f>IF(H17=0,H17*0%,IF(H17=35,H17*2%,IF(H17=60,H17*5%,IF(H17=100,H17*6%,IF(H17=140,H17*8%,)))))</f>
        <v>0</v>
      </c>
      <c r="J17" s="2">
        <f>(H17-I17)*F17</f>
        <v>3500</v>
      </c>
      <c r="L17" s="3" t="s">
        <v>2</v>
      </c>
      <c r="M17" s="3" t="s">
        <v>3</v>
      </c>
      <c r="N17" s="3" t="s">
        <v>6</v>
      </c>
    </row>
    <row r="18" spans="1:14" ht="16.5" x14ac:dyDescent="0.3">
      <c r="A18" s="4">
        <v>42812</v>
      </c>
      <c r="B18" s="2" t="s">
        <v>15</v>
      </c>
      <c r="C18" s="2">
        <v>1016</v>
      </c>
      <c r="D18" s="2" t="s">
        <v>23</v>
      </c>
      <c r="E18" s="2" t="s">
        <v>12</v>
      </c>
      <c r="F18" s="2">
        <v>30</v>
      </c>
      <c r="G18" s="2">
        <v>1</v>
      </c>
      <c r="H18" s="2">
        <v>180</v>
      </c>
      <c r="I18" s="2">
        <f>IF(H18=0,H18*0%,IF(H18=35,H18*2%,IF(H18=60,H18*5%,IF(H18=100,H18*6%,IF(H18=140,H18*8%,)))))</f>
        <v>0</v>
      </c>
      <c r="J18" s="2">
        <f>(H18-I18)*F18</f>
        <v>5400</v>
      </c>
      <c r="L18" s="2">
        <v>1015</v>
      </c>
      <c r="M18" s="8" t="str">
        <f>VLOOKUP(L18,C2:J501,2,0)</f>
        <v>Dipak Kumar</v>
      </c>
      <c r="N18" s="8">
        <f>VLOOKUP(L18,C2:K501,5,0)</f>
        <v>3</v>
      </c>
    </row>
    <row r="19" spans="1:14" ht="16.5" x14ac:dyDescent="0.3">
      <c r="A19" s="4">
        <v>42772</v>
      </c>
      <c r="B19" s="2" t="s">
        <v>13</v>
      </c>
      <c r="C19" s="2">
        <v>1017</v>
      </c>
      <c r="D19" s="2" t="s">
        <v>27</v>
      </c>
      <c r="E19" s="2" t="s">
        <v>22</v>
      </c>
      <c r="F19" s="2">
        <v>50</v>
      </c>
      <c r="G19" s="2">
        <v>1</v>
      </c>
      <c r="H19" s="2">
        <v>75</v>
      </c>
      <c r="I19" s="2">
        <f>IF(H19=0,H19*0%,IF(H19=35,H19*2%,IF(H19=60,H19*5%,IF(H19=100,H19*6%,IF(H19=140,H19*8%,)))))</f>
        <v>0</v>
      </c>
      <c r="J19" s="2">
        <f>(H19-I19)*F19</f>
        <v>3750</v>
      </c>
      <c r="L19" s="2">
        <v>1043</v>
      </c>
      <c r="M19" s="8" t="str">
        <f>VLOOKUP(L19,C2:J501,2,0)</f>
        <v>Suresh Hazra</v>
      </c>
      <c r="N19" s="9">
        <f>VLOOKUP(L19,C2:J501,5,0)</f>
        <v>1</v>
      </c>
    </row>
    <row r="20" spans="1:14" ht="16.5" x14ac:dyDescent="0.3">
      <c r="A20" s="4">
        <v>42821</v>
      </c>
      <c r="B20" s="2" t="s">
        <v>10</v>
      </c>
      <c r="C20" s="2">
        <v>1018</v>
      </c>
      <c r="D20" s="2" t="s">
        <v>18</v>
      </c>
      <c r="E20" s="2" t="s">
        <v>19</v>
      </c>
      <c r="F20" s="2">
        <v>70</v>
      </c>
      <c r="G20" s="2">
        <v>1</v>
      </c>
      <c r="H20" s="2">
        <v>120</v>
      </c>
      <c r="I20" s="2">
        <f>IF(H20=0,H20*0%,IF(H20=35,H20*2%,IF(H20=60,H20*5%,IF(H20=100,H20*6%,IF(H20=140,H20*8%,)))))</f>
        <v>0</v>
      </c>
      <c r="J20" s="2">
        <f>(H20-I20)*F20</f>
        <v>8400</v>
      </c>
      <c r="L20" s="2">
        <v>1112</v>
      </c>
      <c r="M20" s="8" t="str">
        <f>VLOOKUP(L20,C2:J501,2,0)</f>
        <v>Priyam Chatterjee</v>
      </c>
      <c r="N20" s="9">
        <f>VLOOKUP(L20,C2:J501,5,0)</f>
        <v>1</v>
      </c>
    </row>
    <row r="21" spans="1:14" ht="16.5" x14ac:dyDescent="0.3">
      <c r="A21" s="4">
        <v>42785</v>
      </c>
      <c r="B21" s="2" t="s">
        <v>13</v>
      </c>
      <c r="C21" s="2">
        <v>1019</v>
      </c>
      <c r="D21" s="2" t="s">
        <v>14</v>
      </c>
      <c r="E21" s="2" t="s">
        <v>19</v>
      </c>
      <c r="F21" s="2">
        <v>50</v>
      </c>
      <c r="G21" s="2">
        <v>1</v>
      </c>
      <c r="H21" s="2">
        <v>75</v>
      </c>
      <c r="I21" s="2">
        <f>IF(H21=0,H21*0%,IF(H21=35,H21*2%,IF(H21=60,H21*5%,IF(H21=100,H21*6%,IF(H21=140,H21*8%,)))))</f>
        <v>0</v>
      </c>
      <c r="J21" s="2">
        <f>(H21-I21)*F21</f>
        <v>3750</v>
      </c>
      <c r="L21" s="2">
        <v>1287</v>
      </c>
      <c r="M21" s="8" t="str">
        <f>VLOOKUP(L21,C2:J501,2,0)</f>
        <v>Priyam Chatterjee</v>
      </c>
      <c r="N21" s="9">
        <f>VLOOKUP(L21,C2:J501,5,0)</f>
        <v>2</v>
      </c>
    </row>
    <row r="22" spans="1:14" ht="16.5" x14ac:dyDescent="0.3">
      <c r="A22" s="4">
        <v>42880</v>
      </c>
      <c r="B22" s="2" t="s">
        <v>13</v>
      </c>
      <c r="C22" s="2">
        <v>1020</v>
      </c>
      <c r="D22" s="2" t="s">
        <v>11</v>
      </c>
      <c r="E22" s="2" t="s">
        <v>21</v>
      </c>
      <c r="F22" s="2">
        <v>50</v>
      </c>
      <c r="G22" s="2">
        <v>1</v>
      </c>
      <c r="H22" s="2">
        <v>50</v>
      </c>
      <c r="I22" s="2">
        <f>IF(H22=0,H22*0%,IF(H22=35,H22*2%,IF(H22=60,H22*5%,IF(H22=100,H22*6%,IF(H22=140,H22*8%,)))))</f>
        <v>0</v>
      </c>
      <c r="J22" s="2">
        <f>(H22-I22)*F22</f>
        <v>2500</v>
      </c>
    </row>
    <row r="23" spans="1:14" ht="16.5" x14ac:dyDescent="0.3">
      <c r="A23" s="4">
        <v>42822</v>
      </c>
      <c r="B23" s="2" t="s">
        <v>10</v>
      </c>
      <c r="C23" s="2">
        <v>1021</v>
      </c>
      <c r="D23" s="2" t="s">
        <v>11</v>
      </c>
      <c r="E23" s="2" t="s">
        <v>19</v>
      </c>
      <c r="F23" s="2">
        <v>70</v>
      </c>
      <c r="G23" s="2">
        <v>1</v>
      </c>
      <c r="H23" s="2">
        <v>90</v>
      </c>
      <c r="I23" s="2">
        <f>IF(H23=0,H23*0%,IF(H23=35,H23*2%,IF(H23=60,H23*5%,IF(H23=100,H23*6%,IF(H23=140,H23*8%,)))))</f>
        <v>0</v>
      </c>
      <c r="J23" s="2">
        <f>(H23-I23)*F23</f>
        <v>6300</v>
      </c>
    </row>
    <row r="24" spans="1:14" ht="16.5" x14ac:dyDescent="0.3">
      <c r="A24" s="4">
        <v>42893</v>
      </c>
      <c r="B24" s="2" t="s">
        <v>15</v>
      </c>
      <c r="C24" s="2">
        <v>1022</v>
      </c>
      <c r="D24" s="2" t="s">
        <v>27</v>
      </c>
      <c r="E24" s="2" t="s">
        <v>21</v>
      </c>
      <c r="F24" s="2">
        <v>30</v>
      </c>
      <c r="G24" s="2">
        <v>1</v>
      </c>
      <c r="H24" s="2">
        <v>80</v>
      </c>
      <c r="I24" s="2">
        <f>IF(H24=0,H24*0%,IF(H24=35,H24*2%,IF(H24=60,H24*5%,IF(H24=100,H24*6%,IF(H24=140,H24*8%,)))))</f>
        <v>0</v>
      </c>
      <c r="J24" s="2">
        <f>(H24-I24)*F24</f>
        <v>2400</v>
      </c>
    </row>
    <row r="25" spans="1:14" ht="16.5" x14ac:dyDescent="0.3">
      <c r="A25" s="4">
        <v>42814</v>
      </c>
      <c r="B25" s="2" t="s">
        <v>15</v>
      </c>
      <c r="C25" s="2">
        <v>1023</v>
      </c>
      <c r="D25" s="2" t="s">
        <v>16</v>
      </c>
      <c r="E25" s="2" t="s">
        <v>22</v>
      </c>
      <c r="F25" s="2">
        <v>30</v>
      </c>
      <c r="G25" s="2">
        <v>1</v>
      </c>
      <c r="H25" s="2">
        <v>115</v>
      </c>
      <c r="I25" s="2">
        <f>IF(H25=0,H25*0%,IF(H25=35,H25*2%,IF(H25=60,H25*5%,IF(H25=100,H25*6%,IF(H25=140,H25*8%,)))))</f>
        <v>0</v>
      </c>
      <c r="J25" s="2">
        <f>(H25-I25)*F25</f>
        <v>3450</v>
      </c>
    </row>
    <row r="26" spans="1:14" ht="16.5" x14ac:dyDescent="0.3">
      <c r="A26" s="4">
        <v>42760</v>
      </c>
      <c r="B26" s="2" t="s">
        <v>15</v>
      </c>
      <c r="C26" s="2">
        <v>1024</v>
      </c>
      <c r="D26" s="2" t="s">
        <v>27</v>
      </c>
      <c r="E26" s="2" t="s">
        <v>24</v>
      </c>
      <c r="F26" s="2">
        <v>30</v>
      </c>
      <c r="G26" s="2">
        <v>1</v>
      </c>
      <c r="H26" s="2">
        <v>120</v>
      </c>
      <c r="I26" s="2">
        <f>IF(H26=0,H26*0%,IF(H26=35,H26*2%,IF(H26=60,H26*5%,IF(H26=100,H26*6%,IF(H26=140,H26*8%,)))))</f>
        <v>0</v>
      </c>
      <c r="J26" s="2">
        <f>(H26-I26)*F26</f>
        <v>3600</v>
      </c>
    </row>
    <row r="27" spans="1:14" ht="16.5" x14ac:dyDescent="0.3">
      <c r="A27" s="4">
        <v>42772</v>
      </c>
      <c r="B27" s="2" t="s">
        <v>13</v>
      </c>
      <c r="C27" s="2">
        <v>1025</v>
      </c>
      <c r="D27" s="2" t="s">
        <v>23</v>
      </c>
      <c r="E27" s="2" t="s">
        <v>25</v>
      </c>
      <c r="F27" s="2">
        <v>50</v>
      </c>
      <c r="G27" s="2">
        <v>1</v>
      </c>
      <c r="H27" s="2">
        <v>45</v>
      </c>
      <c r="I27" s="2">
        <f>IF(H27=0,H27*0%,IF(H27=35,H27*2%,IF(H27=60,H27*5%,IF(H27=100,H27*6%,IF(H27=140,H27*8%,)))))</f>
        <v>0</v>
      </c>
      <c r="J27" s="2">
        <f>(H27-I27)*F27</f>
        <v>2250</v>
      </c>
    </row>
    <row r="28" spans="1:14" ht="16.5" x14ac:dyDescent="0.3">
      <c r="A28" s="4">
        <v>42793</v>
      </c>
      <c r="B28" s="2" t="s">
        <v>15</v>
      </c>
      <c r="C28" s="2">
        <v>1026</v>
      </c>
      <c r="D28" s="2" t="s">
        <v>23</v>
      </c>
      <c r="E28" s="2" t="s">
        <v>21</v>
      </c>
      <c r="F28" s="2">
        <v>30</v>
      </c>
      <c r="G28" s="2">
        <v>1</v>
      </c>
      <c r="H28" s="2">
        <v>130</v>
      </c>
      <c r="I28" s="2">
        <f>IF(H28=0,H28*0%,IF(H28=35,H28*2%,IF(H28=60,H28*5%,IF(H28=100,H28*6%,IF(H28=140,H28*8%,)))))</f>
        <v>0</v>
      </c>
      <c r="J28" s="2">
        <f>(H28-I28)*F28</f>
        <v>3900</v>
      </c>
    </row>
    <row r="29" spans="1:14" ht="16.5" x14ac:dyDescent="0.3">
      <c r="A29" s="4">
        <v>42761</v>
      </c>
      <c r="B29" s="2" t="s">
        <v>15</v>
      </c>
      <c r="C29" s="2">
        <v>1027</v>
      </c>
      <c r="D29" s="2" t="s">
        <v>18</v>
      </c>
      <c r="E29" s="2" t="s">
        <v>22</v>
      </c>
      <c r="F29" s="2">
        <v>30</v>
      </c>
      <c r="G29" s="2">
        <v>1</v>
      </c>
      <c r="H29" s="2">
        <v>80</v>
      </c>
      <c r="I29" s="2">
        <f>IF(H29=0,H29*0%,IF(H29=35,H29*2%,IF(H29=60,H29*5%,IF(H29=100,H29*6%,IF(H29=140,H29*8%,)))))</f>
        <v>0</v>
      </c>
      <c r="J29" s="2">
        <f>(H29-I29)*F29</f>
        <v>2400</v>
      </c>
    </row>
    <row r="30" spans="1:14" ht="16.5" x14ac:dyDescent="0.3">
      <c r="A30" s="4">
        <v>42778</v>
      </c>
      <c r="B30" s="2" t="s">
        <v>13</v>
      </c>
      <c r="C30" s="2">
        <v>1028</v>
      </c>
      <c r="D30" s="2" t="s">
        <v>11</v>
      </c>
      <c r="E30" s="2" t="s">
        <v>25</v>
      </c>
      <c r="F30" s="2">
        <v>50</v>
      </c>
      <c r="G30" s="2">
        <v>1</v>
      </c>
      <c r="H30" s="2">
        <v>160</v>
      </c>
      <c r="I30" s="2">
        <f>IF(H30=0,H30*0%,IF(H30=35,H30*2%,IF(H30=60,H30*5%,IF(H30=100,H30*6%,IF(H30=140,H30*8%,)))))</f>
        <v>0</v>
      </c>
      <c r="J30" s="2">
        <f>(H30-I30)*F30</f>
        <v>8000</v>
      </c>
    </row>
    <row r="31" spans="1:14" ht="16.5" x14ac:dyDescent="0.3">
      <c r="A31" s="4">
        <v>42797</v>
      </c>
      <c r="B31" s="2" t="s">
        <v>13</v>
      </c>
      <c r="C31" s="2">
        <v>1029</v>
      </c>
      <c r="D31" s="2" t="s">
        <v>16</v>
      </c>
      <c r="E31" s="2" t="s">
        <v>20</v>
      </c>
      <c r="F31" s="2">
        <v>50</v>
      </c>
      <c r="G31" s="2">
        <v>1</v>
      </c>
      <c r="H31" s="2">
        <v>80</v>
      </c>
      <c r="I31" s="2">
        <f>IF(H31=0,H31*0%,IF(H31=35,H31*2%,IF(H31=60,H31*5%,IF(H31=100,H31*6%,IF(H31=140,H31*8%,)))))</f>
        <v>0</v>
      </c>
      <c r="J31" s="2">
        <f>(H31-I31)*F31</f>
        <v>4000</v>
      </c>
    </row>
    <row r="32" spans="1:14" ht="16.5" x14ac:dyDescent="0.3">
      <c r="A32" s="4">
        <v>42874</v>
      </c>
      <c r="B32" s="2" t="s">
        <v>13</v>
      </c>
      <c r="C32" s="2">
        <v>1030</v>
      </c>
      <c r="D32" s="2" t="s">
        <v>16</v>
      </c>
      <c r="E32" s="2" t="s">
        <v>12</v>
      </c>
      <c r="F32" s="2">
        <v>50</v>
      </c>
      <c r="G32" s="2">
        <v>1</v>
      </c>
      <c r="H32" s="2">
        <v>50</v>
      </c>
      <c r="I32" s="2">
        <f>IF(H32=0,H32*0%,IF(H32=35,H32*2%,IF(H32=60,H32*5%,IF(H32=100,H32*6%,IF(H32=140,H32*8%,)))))</f>
        <v>0</v>
      </c>
      <c r="J32" s="2">
        <f>(H32-I32)*F32</f>
        <v>2500</v>
      </c>
    </row>
    <row r="33" spans="1:10" ht="16.5" x14ac:dyDescent="0.3">
      <c r="A33" s="4">
        <v>42879</v>
      </c>
      <c r="B33" s="2" t="s">
        <v>13</v>
      </c>
      <c r="C33" s="2">
        <v>1031</v>
      </c>
      <c r="D33" s="2" t="s">
        <v>27</v>
      </c>
      <c r="E33" s="2" t="s">
        <v>17</v>
      </c>
      <c r="F33" s="2">
        <v>50</v>
      </c>
      <c r="G33" s="2">
        <v>1</v>
      </c>
      <c r="H33" s="2">
        <v>40</v>
      </c>
      <c r="I33" s="2">
        <f>IF(H33=0,H33*0%,IF(H33=35,H33*2%,IF(H33=60,H33*5%,IF(H33=100,H33*6%,IF(H33=140,H33*8%,)))))</f>
        <v>0</v>
      </c>
      <c r="J33" s="2">
        <f>(H33-I33)*F33</f>
        <v>2000</v>
      </c>
    </row>
    <row r="34" spans="1:10" ht="16.5" x14ac:dyDescent="0.3">
      <c r="A34" s="4">
        <v>42766</v>
      </c>
      <c r="B34" s="2" t="s">
        <v>13</v>
      </c>
      <c r="C34" s="2">
        <v>1032</v>
      </c>
      <c r="D34" s="2" t="s">
        <v>27</v>
      </c>
      <c r="E34" s="2" t="s">
        <v>20</v>
      </c>
      <c r="F34" s="2">
        <v>50</v>
      </c>
      <c r="G34" s="2">
        <v>1</v>
      </c>
      <c r="H34" s="2">
        <v>75</v>
      </c>
      <c r="I34" s="2">
        <f>IF(H34=0,H34*0%,IF(H34=35,H34*2%,IF(H34=60,H34*5%,IF(H34=100,H34*6%,IF(H34=140,H34*8%,)))))</f>
        <v>0</v>
      </c>
      <c r="J34" s="2">
        <f>(H34-I34)*F34</f>
        <v>3750</v>
      </c>
    </row>
    <row r="35" spans="1:10" ht="16.5" x14ac:dyDescent="0.3">
      <c r="A35" s="4">
        <v>42828</v>
      </c>
      <c r="B35" s="2" t="s">
        <v>15</v>
      </c>
      <c r="C35" s="2">
        <v>1033</v>
      </c>
      <c r="D35" s="2" t="s">
        <v>14</v>
      </c>
      <c r="E35" s="2" t="s">
        <v>24</v>
      </c>
      <c r="F35" s="2">
        <v>30</v>
      </c>
      <c r="G35" s="2">
        <v>1</v>
      </c>
      <c r="H35" s="2">
        <v>110</v>
      </c>
      <c r="I35" s="2">
        <f>IF(H35=0,H35*0%,IF(H35=35,H35*2%,IF(H35=60,H35*5%,IF(H35=100,H35*6%,IF(H35=140,H35*8%,)))))</f>
        <v>0</v>
      </c>
      <c r="J35" s="2">
        <f>(H35-I35)*F35</f>
        <v>3300</v>
      </c>
    </row>
    <row r="36" spans="1:10" ht="16.5" x14ac:dyDescent="0.3">
      <c r="A36" s="4">
        <v>42747</v>
      </c>
      <c r="B36" s="2" t="s">
        <v>15</v>
      </c>
      <c r="C36" s="2">
        <v>1034</v>
      </c>
      <c r="D36" s="2" t="s">
        <v>27</v>
      </c>
      <c r="E36" s="2" t="s">
        <v>24</v>
      </c>
      <c r="F36" s="2">
        <v>30</v>
      </c>
      <c r="G36" s="2">
        <v>1</v>
      </c>
      <c r="H36" s="2">
        <v>80</v>
      </c>
      <c r="I36" s="2">
        <f>IF(H36=0,H36*0%,IF(H36=35,H36*2%,IF(H36=60,H36*5%,IF(H36=100,H36*6%,IF(H36=140,H36*8%,)))))</f>
        <v>0</v>
      </c>
      <c r="J36" s="2">
        <f>(H36-I36)*F36</f>
        <v>2400</v>
      </c>
    </row>
    <row r="37" spans="1:10" ht="16.5" x14ac:dyDescent="0.3">
      <c r="A37" s="4">
        <v>42833</v>
      </c>
      <c r="B37" s="2" t="s">
        <v>15</v>
      </c>
      <c r="C37" s="2">
        <v>1035</v>
      </c>
      <c r="D37" s="2" t="s">
        <v>14</v>
      </c>
      <c r="E37" s="2" t="s">
        <v>20</v>
      </c>
      <c r="F37" s="2">
        <v>30</v>
      </c>
      <c r="G37" s="2">
        <v>1</v>
      </c>
      <c r="H37" s="2">
        <v>40</v>
      </c>
      <c r="I37" s="2">
        <f>IF(H37=0,H37*0%,IF(H37=35,H37*2%,IF(H37=60,H37*5%,IF(H37=100,H37*6%,IF(H37=140,H37*8%,)))))</f>
        <v>0</v>
      </c>
      <c r="J37" s="2">
        <f>(H37-I37)*F37</f>
        <v>1200</v>
      </c>
    </row>
    <row r="38" spans="1:10" ht="16.5" x14ac:dyDescent="0.3">
      <c r="A38" s="4">
        <v>42913</v>
      </c>
      <c r="B38" s="2" t="s">
        <v>15</v>
      </c>
      <c r="C38" s="2">
        <v>1036</v>
      </c>
      <c r="D38" s="2" t="s">
        <v>27</v>
      </c>
      <c r="E38" s="2" t="s">
        <v>17</v>
      </c>
      <c r="F38" s="2">
        <v>30</v>
      </c>
      <c r="G38" s="2">
        <v>1</v>
      </c>
      <c r="H38" s="2">
        <v>45</v>
      </c>
      <c r="I38" s="2">
        <f>IF(H38=0,H38*0%,IF(H38=35,H38*2%,IF(H38=60,H38*5%,IF(H38=100,H38*6%,IF(H38=140,H38*8%,)))))</f>
        <v>0</v>
      </c>
      <c r="J38" s="2">
        <f>(H38-I38)*F38</f>
        <v>1350</v>
      </c>
    </row>
    <row r="39" spans="1:10" ht="16.5" x14ac:dyDescent="0.3">
      <c r="A39" s="4">
        <v>42834</v>
      </c>
      <c r="B39" s="2" t="s">
        <v>10</v>
      </c>
      <c r="C39" s="2">
        <v>1037</v>
      </c>
      <c r="D39" s="2" t="s">
        <v>14</v>
      </c>
      <c r="E39" s="2" t="s">
        <v>22</v>
      </c>
      <c r="F39" s="2">
        <v>70</v>
      </c>
      <c r="G39" s="2">
        <v>1</v>
      </c>
      <c r="H39" s="2">
        <v>120</v>
      </c>
      <c r="I39" s="2">
        <f>IF(H39=0,H39*0%,IF(H39=35,H39*2%,IF(H39=60,H39*5%,IF(H39=100,H39*6%,IF(H39=140,H39*8%,)))))</f>
        <v>0</v>
      </c>
      <c r="J39" s="2">
        <f>(H39-I39)*F39</f>
        <v>8400</v>
      </c>
    </row>
    <row r="40" spans="1:10" ht="16.5" x14ac:dyDescent="0.3">
      <c r="A40" s="4">
        <v>42907</v>
      </c>
      <c r="B40" s="2" t="s">
        <v>13</v>
      </c>
      <c r="C40" s="2">
        <v>1038</v>
      </c>
      <c r="D40" s="2" t="s">
        <v>27</v>
      </c>
      <c r="E40" s="2" t="s">
        <v>24</v>
      </c>
      <c r="F40" s="2">
        <v>50</v>
      </c>
      <c r="G40" s="2">
        <v>1</v>
      </c>
      <c r="H40" s="2">
        <v>115</v>
      </c>
      <c r="I40" s="2">
        <f>IF(H40=0,H40*0%,IF(H40=35,H40*2%,IF(H40=60,H40*5%,IF(H40=100,H40*6%,IF(H40=140,H40*8%,)))))</f>
        <v>0</v>
      </c>
      <c r="J40" s="2">
        <f>(H40-I40)*F40</f>
        <v>5750</v>
      </c>
    </row>
    <row r="41" spans="1:10" ht="16.5" x14ac:dyDescent="0.3">
      <c r="A41" s="4">
        <v>42800</v>
      </c>
      <c r="B41" s="2" t="s">
        <v>15</v>
      </c>
      <c r="C41" s="2">
        <v>1039</v>
      </c>
      <c r="D41" s="2" t="s">
        <v>27</v>
      </c>
      <c r="E41" s="2" t="s">
        <v>25</v>
      </c>
      <c r="F41" s="2">
        <v>30</v>
      </c>
      <c r="G41" s="2">
        <v>1</v>
      </c>
      <c r="H41" s="2">
        <v>80</v>
      </c>
      <c r="I41" s="2">
        <f>IF(H41=0,H41*0%,IF(H41=35,H41*2%,IF(H41=60,H41*5%,IF(H41=100,H41*6%,IF(H41=140,H41*8%,)))))</f>
        <v>0</v>
      </c>
      <c r="J41" s="2">
        <f>(H41-I41)*F41</f>
        <v>2400</v>
      </c>
    </row>
    <row r="42" spans="1:10" ht="16.5" x14ac:dyDescent="0.3">
      <c r="A42" s="4">
        <v>42816</v>
      </c>
      <c r="B42" s="2" t="s">
        <v>10</v>
      </c>
      <c r="C42" s="2">
        <v>1040</v>
      </c>
      <c r="D42" s="2" t="s">
        <v>18</v>
      </c>
      <c r="E42" s="2" t="s">
        <v>26</v>
      </c>
      <c r="F42" s="2">
        <v>70</v>
      </c>
      <c r="G42" s="2">
        <v>1</v>
      </c>
      <c r="H42" s="2">
        <v>160</v>
      </c>
      <c r="I42" s="2">
        <f>IF(H42=0,H42*0%,IF(H42=35,H42*2%,IF(H42=60,H42*5%,IF(H42=100,H42*6%,IF(H42=140,H42*8%,)))))</f>
        <v>0</v>
      </c>
      <c r="J42" s="2">
        <f>(H42-I42)*F42</f>
        <v>11200</v>
      </c>
    </row>
    <row r="43" spans="1:10" ht="16.5" x14ac:dyDescent="0.3">
      <c r="A43" s="4">
        <v>42785</v>
      </c>
      <c r="B43" s="2" t="s">
        <v>10</v>
      </c>
      <c r="C43" s="2">
        <v>1041</v>
      </c>
      <c r="D43" s="2" t="s">
        <v>14</v>
      </c>
      <c r="E43" s="2" t="s">
        <v>19</v>
      </c>
      <c r="F43" s="2">
        <v>70</v>
      </c>
      <c r="G43" s="2">
        <v>1</v>
      </c>
      <c r="H43" s="2">
        <v>45</v>
      </c>
      <c r="I43" s="2">
        <f>IF(H43=0,H43*0%,IF(H43=35,H43*2%,IF(H43=60,H43*5%,IF(H43=100,H43*6%,IF(H43=140,H43*8%,)))))</f>
        <v>0</v>
      </c>
      <c r="J43" s="2">
        <f>(H43-I43)*F43</f>
        <v>3150</v>
      </c>
    </row>
    <row r="44" spans="1:10" ht="16.5" x14ac:dyDescent="0.3">
      <c r="A44" s="4">
        <v>42789</v>
      </c>
      <c r="B44" s="2" t="s">
        <v>10</v>
      </c>
      <c r="C44" s="2">
        <v>1042</v>
      </c>
      <c r="D44" s="2" t="s">
        <v>14</v>
      </c>
      <c r="E44" s="2" t="s">
        <v>19</v>
      </c>
      <c r="F44" s="2">
        <v>70</v>
      </c>
      <c r="G44" s="2">
        <v>1</v>
      </c>
      <c r="H44" s="2">
        <v>80</v>
      </c>
      <c r="I44" s="2">
        <f>IF(H44=0,H44*0%,IF(H44=35,H44*2%,IF(H44=60,H44*5%,IF(H44=100,H44*6%,IF(H44=140,H44*8%,)))))</f>
        <v>0</v>
      </c>
      <c r="J44" s="2">
        <f>(H44-I44)*F44</f>
        <v>5600</v>
      </c>
    </row>
    <row r="45" spans="1:10" ht="16.5" x14ac:dyDescent="0.3">
      <c r="A45" s="4">
        <v>42750</v>
      </c>
      <c r="B45" s="2" t="s">
        <v>15</v>
      </c>
      <c r="C45" s="2">
        <v>1043</v>
      </c>
      <c r="D45" s="2" t="s">
        <v>23</v>
      </c>
      <c r="E45" s="2" t="s">
        <v>25</v>
      </c>
      <c r="F45" s="2">
        <v>30</v>
      </c>
      <c r="G45" s="2">
        <v>1</v>
      </c>
      <c r="H45" s="2">
        <v>80</v>
      </c>
      <c r="I45" s="2">
        <f>IF(H45=0,H45*0%,IF(H45=35,H45*2%,IF(H45=60,H45*5%,IF(H45=100,H45*6%,IF(H45=140,H45*8%,)))))</f>
        <v>0</v>
      </c>
      <c r="J45" s="2">
        <f>(H45-I45)*F45</f>
        <v>2400</v>
      </c>
    </row>
    <row r="46" spans="1:10" ht="16.5" x14ac:dyDescent="0.3">
      <c r="A46" s="4">
        <v>42818</v>
      </c>
      <c r="B46" s="2" t="s">
        <v>13</v>
      </c>
      <c r="C46" s="2">
        <v>1044</v>
      </c>
      <c r="D46" s="2" t="s">
        <v>23</v>
      </c>
      <c r="E46" s="2" t="s">
        <v>20</v>
      </c>
      <c r="F46" s="2">
        <v>50</v>
      </c>
      <c r="G46" s="2">
        <v>1</v>
      </c>
      <c r="H46" s="2">
        <v>50</v>
      </c>
      <c r="I46" s="2">
        <f>IF(H46=0,H46*0%,IF(H46=35,H46*2%,IF(H46=60,H46*5%,IF(H46=100,H46*6%,IF(H46=140,H46*8%,)))))</f>
        <v>0</v>
      </c>
      <c r="J46" s="2">
        <f>(H46-I46)*F46</f>
        <v>2500</v>
      </c>
    </row>
    <row r="47" spans="1:10" ht="16.5" x14ac:dyDescent="0.3">
      <c r="A47" s="4">
        <v>42806</v>
      </c>
      <c r="B47" s="2" t="s">
        <v>10</v>
      </c>
      <c r="C47" s="2">
        <v>1045</v>
      </c>
      <c r="D47" s="2" t="s">
        <v>14</v>
      </c>
      <c r="E47" s="2" t="s">
        <v>12</v>
      </c>
      <c r="F47" s="2">
        <v>70</v>
      </c>
      <c r="G47" s="2">
        <v>1</v>
      </c>
      <c r="H47" s="2">
        <v>130</v>
      </c>
      <c r="I47" s="2">
        <f>IF(H47=0,H47*0%,IF(H47=35,H47*2%,IF(H47=60,H47*5%,IF(H47=100,H47*6%,IF(H47=140,H47*8%,)))))</f>
        <v>0</v>
      </c>
      <c r="J47" s="2">
        <f>(H47-I47)*F47</f>
        <v>9100</v>
      </c>
    </row>
    <row r="48" spans="1:10" ht="16.5" x14ac:dyDescent="0.3">
      <c r="A48" s="4">
        <v>42806</v>
      </c>
      <c r="B48" s="2" t="s">
        <v>10</v>
      </c>
      <c r="C48" s="2">
        <v>1046</v>
      </c>
      <c r="D48" s="2" t="s">
        <v>14</v>
      </c>
      <c r="E48" s="2" t="s">
        <v>25</v>
      </c>
      <c r="F48" s="2">
        <v>70</v>
      </c>
      <c r="G48" s="2">
        <v>1</v>
      </c>
      <c r="H48" s="2">
        <v>45</v>
      </c>
      <c r="I48" s="2">
        <f>IF(H48=0,H48*0%,IF(H48=35,H48*2%,IF(H48=60,H48*5%,IF(H48=100,H48*6%,IF(H48=140,H48*8%,)))))</f>
        <v>0</v>
      </c>
      <c r="J48" s="2">
        <f>(H48-I48)*F48</f>
        <v>3150</v>
      </c>
    </row>
    <row r="49" spans="1:10" ht="16.5" x14ac:dyDescent="0.3">
      <c r="A49" s="4">
        <v>42767</v>
      </c>
      <c r="B49" s="2" t="s">
        <v>10</v>
      </c>
      <c r="C49" s="2">
        <v>1047</v>
      </c>
      <c r="D49" s="2" t="s">
        <v>27</v>
      </c>
      <c r="E49" s="2" t="s">
        <v>25</v>
      </c>
      <c r="F49" s="2">
        <v>70</v>
      </c>
      <c r="G49" s="2">
        <v>1</v>
      </c>
      <c r="H49" s="2">
        <v>90</v>
      </c>
      <c r="I49" s="2">
        <f>IF(H49=0,H49*0%,IF(H49=35,H49*2%,IF(H49=60,H49*5%,IF(H49=100,H49*6%,IF(H49=140,H49*8%,)))))</f>
        <v>0</v>
      </c>
      <c r="J49" s="2">
        <f>(H49-I49)*F49</f>
        <v>6300</v>
      </c>
    </row>
    <row r="50" spans="1:10" ht="16.5" x14ac:dyDescent="0.3">
      <c r="A50" s="4">
        <v>42782</v>
      </c>
      <c r="B50" s="2" t="s">
        <v>13</v>
      </c>
      <c r="C50" s="2">
        <v>1048</v>
      </c>
      <c r="D50" s="2" t="s">
        <v>23</v>
      </c>
      <c r="E50" s="2" t="s">
        <v>17</v>
      </c>
      <c r="F50" s="2">
        <v>50</v>
      </c>
      <c r="G50" s="2">
        <v>1</v>
      </c>
      <c r="H50" s="2">
        <v>160</v>
      </c>
      <c r="I50" s="2">
        <f>IF(H50=0,H50*0%,IF(H50=35,H50*2%,IF(H50=60,H50*5%,IF(H50=100,H50*6%,IF(H50=140,H50*8%,)))))</f>
        <v>0</v>
      </c>
      <c r="J50" s="2">
        <f>(H50-I50)*F50</f>
        <v>8000</v>
      </c>
    </row>
    <row r="51" spans="1:10" ht="16.5" x14ac:dyDescent="0.3">
      <c r="A51" s="4">
        <v>42834</v>
      </c>
      <c r="B51" s="2" t="s">
        <v>15</v>
      </c>
      <c r="C51" s="2">
        <v>1049</v>
      </c>
      <c r="D51" s="2" t="s">
        <v>23</v>
      </c>
      <c r="E51" s="2" t="s">
        <v>20</v>
      </c>
      <c r="F51" s="2">
        <v>30</v>
      </c>
      <c r="G51" s="2">
        <v>1</v>
      </c>
      <c r="H51" s="2">
        <v>100</v>
      </c>
      <c r="I51" s="2">
        <f>IF(H51=0,H51*0%,IF(H51=35,H51*2%,IF(H51=60,H51*5%,IF(H51=100,H51*6%,IF(H51=140,H51*8%,)))))</f>
        <v>6</v>
      </c>
      <c r="J51" s="2">
        <f>(H51-I51)*F51</f>
        <v>2820</v>
      </c>
    </row>
    <row r="52" spans="1:10" ht="16.5" x14ac:dyDescent="0.3">
      <c r="A52" s="4">
        <v>42907</v>
      </c>
      <c r="B52" s="2" t="s">
        <v>13</v>
      </c>
      <c r="C52" s="2">
        <v>1050</v>
      </c>
      <c r="D52" s="2" t="s">
        <v>11</v>
      </c>
      <c r="E52" s="2" t="s">
        <v>28</v>
      </c>
      <c r="F52" s="2">
        <v>50</v>
      </c>
      <c r="G52" s="2">
        <v>1</v>
      </c>
      <c r="H52" s="2">
        <v>130</v>
      </c>
      <c r="I52" s="2">
        <f>IF(H52=0,H52*0%,IF(H52=35,H52*2%,IF(H52=60,H52*5%,IF(H52=100,H52*6%,IF(H52=140,H52*8%,)))))</f>
        <v>0</v>
      </c>
      <c r="J52" s="2">
        <f>(H52-I52)*F52</f>
        <v>6500</v>
      </c>
    </row>
    <row r="53" spans="1:10" ht="16.5" x14ac:dyDescent="0.3">
      <c r="A53" s="4">
        <v>42747</v>
      </c>
      <c r="B53" s="2" t="s">
        <v>10</v>
      </c>
      <c r="C53" s="2">
        <v>1051</v>
      </c>
      <c r="D53" s="2" t="s">
        <v>23</v>
      </c>
      <c r="E53" s="2" t="s">
        <v>22</v>
      </c>
      <c r="F53" s="2">
        <v>70</v>
      </c>
      <c r="G53" s="2">
        <v>1</v>
      </c>
      <c r="H53" s="2">
        <v>80</v>
      </c>
      <c r="I53" s="2">
        <f>IF(H53=0,H53*0%,IF(H53=35,H53*2%,IF(H53=60,H53*5%,IF(H53=100,H53*6%,IF(H53=140,H53*8%,)))))</f>
        <v>0</v>
      </c>
      <c r="J53" s="2">
        <f>(H53-I53)*F53</f>
        <v>5600</v>
      </c>
    </row>
    <row r="54" spans="1:10" ht="16.5" x14ac:dyDescent="0.3">
      <c r="A54" s="4">
        <v>42848</v>
      </c>
      <c r="B54" s="2" t="s">
        <v>15</v>
      </c>
      <c r="C54" s="2">
        <v>1052</v>
      </c>
      <c r="D54" s="2" t="s">
        <v>16</v>
      </c>
      <c r="E54" s="2" t="s">
        <v>12</v>
      </c>
      <c r="F54" s="2">
        <v>30</v>
      </c>
      <c r="G54" s="2">
        <v>1</v>
      </c>
      <c r="H54" s="2">
        <v>80</v>
      </c>
      <c r="I54" s="2">
        <f>IF(H54=0,H54*0%,IF(H54=35,H54*2%,IF(H54=60,H54*5%,IF(H54=100,H54*6%,IF(H54=140,H54*8%,)))))</f>
        <v>0</v>
      </c>
      <c r="J54" s="2">
        <f>(H54-I54)*F54</f>
        <v>2400</v>
      </c>
    </row>
    <row r="55" spans="1:10" ht="16.5" x14ac:dyDescent="0.3">
      <c r="A55" s="4">
        <v>42894</v>
      </c>
      <c r="B55" s="2" t="s">
        <v>15</v>
      </c>
      <c r="C55" s="2">
        <v>1053</v>
      </c>
      <c r="D55" s="2" t="s">
        <v>14</v>
      </c>
      <c r="E55" s="2" t="s">
        <v>24</v>
      </c>
      <c r="F55" s="2">
        <v>30</v>
      </c>
      <c r="G55" s="2">
        <v>1</v>
      </c>
      <c r="H55" s="2">
        <v>130</v>
      </c>
      <c r="I55" s="2">
        <f>IF(H55=0,H55*0%,IF(H55=35,H55*2%,IF(H55=60,H55*5%,IF(H55=100,H55*6%,IF(H55=140,H55*8%,)))))</f>
        <v>0</v>
      </c>
      <c r="J55" s="2">
        <f>(H55-I55)*F55</f>
        <v>3900</v>
      </c>
    </row>
    <row r="56" spans="1:10" ht="16.5" x14ac:dyDescent="0.3">
      <c r="A56" s="4">
        <v>42916</v>
      </c>
      <c r="B56" s="2" t="s">
        <v>15</v>
      </c>
      <c r="C56" s="2">
        <v>1054</v>
      </c>
      <c r="D56" s="2" t="s">
        <v>11</v>
      </c>
      <c r="E56" s="2" t="s">
        <v>22</v>
      </c>
      <c r="F56" s="2">
        <v>30</v>
      </c>
      <c r="G56" s="2">
        <v>1</v>
      </c>
      <c r="H56" s="2">
        <v>90</v>
      </c>
      <c r="I56" s="2">
        <f>IF(H56=0,H56*0%,IF(H56=35,H56*2%,IF(H56=60,H56*5%,IF(H56=100,H56*6%,IF(H56=140,H56*8%,)))))</f>
        <v>0</v>
      </c>
      <c r="J56" s="2">
        <f>(H56-I56)*F56</f>
        <v>2700</v>
      </c>
    </row>
    <row r="57" spans="1:10" ht="16.5" x14ac:dyDescent="0.3">
      <c r="A57" s="4">
        <v>42815</v>
      </c>
      <c r="B57" s="2" t="s">
        <v>15</v>
      </c>
      <c r="C57" s="2">
        <v>1055</v>
      </c>
      <c r="D57" s="2" t="s">
        <v>11</v>
      </c>
      <c r="E57" s="2" t="s">
        <v>24</v>
      </c>
      <c r="F57" s="2">
        <v>30</v>
      </c>
      <c r="G57" s="2">
        <v>1</v>
      </c>
      <c r="H57" s="2">
        <v>45</v>
      </c>
      <c r="I57" s="2">
        <f>IF(H57=0,H57*0%,IF(H57=35,H57*2%,IF(H57=60,H57*5%,IF(H57=100,H57*6%,IF(H57=140,H57*8%,)))))</f>
        <v>0</v>
      </c>
      <c r="J57" s="2">
        <f>(H57-I57)*F57</f>
        <v>1350</v>
      </c>
    </row>
    <row r="58" spans="1:10" ht="16.5" x14ac:dyDescent="0.3">
      <c r="A58" s="4">
        <v>42905</v>
      </c>
      <c r="B58" s="2" t="s">
        <v>13</v>
      </c>
      <c r="C58" s="2">
        <v>1056</v>
      </c>
      <c r="D58" s="2" t="s">
        <v>16</v>
      </c>
      <c r="E58" s="2" t="s">
        <v>25</v>
      </c>
      <c r="F58" s="2">
        <v>50</v>
      </c>
      <c r="G58" s="2">
        <v>1</v>
      </c>
      <c r="H58" s="2">
        <v>160</v>
      </c>
      <c r="I58" s="2">
        <f>IF(H58=0,H58*0%,IF(H58=35,H58*2%,IF(H58=60,H58*5%,IF(H58=100,H58*6%,IF(H58=140,H58*8%,)))))</f>
        <v>0</v>
      </c>
      <c r="J58" s="2">
        <f>(H58-I58)*F58</f>
        <v>8000</v>
      </c>
    </row>
    <row r="59" spans="1:10" ht="16.5" x14ac:dyDescent="0.3">
      <c r="A59" s="4">
        <v>42814</v>
      </c>
      <c r="B59" s="2" t="s">
        <v>15</v>
      </c>
      <c r="C59" s="2">
        <v>1057</v>
      </c>
      <c r="D59" s="2" t="s">
        <v>27</v>
      </c>
      <c r="E59" s="2" t="s">
        <v>28</v>
      </c>
      <c r="F59" s="2">
        <v>30</v>
      </c>
      <c r="G59" s="2">
        <v>1</v>
      </c>
      <c r="H59" s="2">
        <v>60</v>
      </c>
      <c r="I59" s="2">
        <f>IF(H59=0,H59*0%,IF(H59=35,H59*2%,IF(H59=60,H59*5%,IF(H59=100,H59*6%,IF(H59=140,H59*8%,)))))</f>
        <v>3</v>
      </c>
      <c r="J59" s="2">
        <f>(H59-I59)*F59</f>
        <v>1710</v>
      </c>
    </row>
    <row r="60" spans="1:10" ht="16.5" x14ac:dyDescent="0.3">
      <c r="A60" s="4">
        <v>42830</v>
      </c>
      <c r="B60" s="2" t="s">
        <v>13</v>
      </c>
      <c r="C60" s="2">
        <v>1058</v>
      </c>
      <c r="D60" s="2" t="s">
        <v>18</v>
      </c>
      <c r="E60" s="2" t="s">
        <v>21</v>
      </c>
      <c r="F60" s="2">
        <v>50</v>
      </c>
      <c r="G60" s="2">
        <v>1</v>
      </c>
      <c r="H60" s="2">
        <v>60</v>
      </c>
      <c r="I60" s="2">
        <f>IF(H60=0,H60*0%,IF(H60=35,H60*2%,IF(H60=60,H60*5%,IF(H60=100,H60*6%,IF(H60=140,H60*8%,)))))</f>
        <v>3</v>
      </c>
      <c r="J60" s="2">
        <f>(H60-I60)*F60</f>
        <v>2850</v>
      </c>
    </row>
    <row r="61" spans="1:10" ht="16.5" x14ac:dyDescent="0.3">
      <c r="A61" s="4">
        <v>42814</v>
      </c>
      <c r="B61" s="2" t="s">
        <v>13</v>
      </c>
      <c r="C61" s="2">
        <v>1059</v>
      </c>
      <c r="D61" s="2" t="s">
        <v>16</v>
      </c>
      <c r="E61" s="2" t="s">
        <v>28</v>
      </c>
      <c r="F61" s="2">
        <v>50</v>
      </c>
      <c r="G61" s="2">
        <v>1</v>
      </c>
      <c r="H61" s="2">
        <v>80</v>
      </c>
      <c r="I61" s="2">
        <f>IF(H61=0,H61*0%,IF(H61=35,H61*2%,IF(H61=60,H61*5%,IF(H61=100,H61*6%,IF(H61=140,H61*8%,)))))</f>
        <v>0</v>
      </c>
      <c r="J61" s="2">
        <f>(H61-I61)*F61</f>
        <v>4000</v>
      </c>
    </row>
    <row r="62" spans="1:10" ht="16.5" x14ac:dyDescent="0.3">
      <c r="A62" s="4">
        <v>42855</v>
      </c>
      <c r="B62" s="2" t="s">
        <v>13</v>
      </c>
      <c r="C62" s="2">
        <v>1060</v>
      </c>
      <c r="D62" s="2" t="s">
        <v>18</v>
      </c>
      <c r="E62" s="2" t="s">
        <v>26</v>
      </c>
      <c r="F62" s="2">
        <v>50</v>
      </c>
      <c r="G62" s="2">
        <v>1</v>
      </c>
      <c r="H62" s="2">
        <v>120</v>
      </c>
      <c r="I62" s="2">
        <f>IF(H62=0,H62*0%,IF(H62=35,H62*2%,IF(H62=60,H62*5%,IF(H62=100,H62*6%,IF(H62=140,H62*8%,)))))</f>
        <v>0</v>
      </c>
      <c r="J62" s="2">
        <f>(H62-I62)*F62</f>
        <v>6000</v>
      </c>
    </row>
    <row r="63" spans="1:10" ht="16.5" x14ac:dyDescent="0.3">
      <c r="A63" s="4">
        <v>42906</v>
      </c>
      <c r="B63" s="2" t="s">
        <v>15</v>
      </c>
      <c r="C63" s="2">
        <v>1061</v>
      </c>
      <c r="D63" s="2" t="s">
        <v>18</v>
      </c>
      <c r="E63" s="2" t="s">
        <v>12</v>
      </c>
      <c r="F63" s="2">
        <v>30</v>
      </c>
      <c r="G63" s="2">
        <v>1</v>
      </c>
      <c r="H63" s="2">
        <v>40</v>
      </c>
      <c r="I63" s="2">
        <f>IF(H63=0,H63*0%,IF(H63=35,H63*2%,IF(H63=60,H63*5%,IF(H63=100,H63*6%,IF(H63=140,H63*8%,)))))</f>
        <v>0</v>
      </c>
      <c r="J63" s="2">
        <f>(H63-I63)*F63</f>
        <v>1200</v>
      </c>
    </row>
    <row r="64" spans="1:10" ht="16.5" x14ac:dyDescent="0.3">
      <c r="A64" s="4">
        <v>42891</v>
      </c>
      <c r="B64" s="2" t="s">
        <v>13</v>
      </c>
      <c r="C64" s="2">
        <v>1062</v>
      </c>
      <c r="D64" s="2" t="s">
        <v>14</v>
      </c>
      <c r="E64" s="2" t="s">
        <v>19</v>
      </c>
      <c r="F64" s="2">
        <v>50</v>
      </c>
      <c r="G64" s="2">
        <v>1</v>
      </c>
      <c r="H64" s="2">
        <v>50</v>
      </c>
      <c r="I64" s="2">
        <f>IF(H64=0,H64*0%,IF(H64=35,H64*2%,IF(H64=60,H64*5%,IF(H64=100,H64*6%,IF(H64=140,H64*8%,)))))</f>
        <v>0</v>
      </c>
      <c r="J64" s="2">
        <f>(H64-I64)*F64</f>
        <v>2500</v>
      </c>
    </row>
    <row r="65" spans="1:10" ht="16.5" x14ac:dyDescent="0.3">
      <c r="A65" s="4">
        <v>42861</v>
      </c>
      <c r="B65" s="2" t="s">
        <v>15</v>
      </c>
      <c r="C65" s="2">
        <v>1063</v>
      </c>
      <c r="D65" s="2" t="s">
        <v>14</v>
      </c>
      <c r="E65" s="2" t="s">
        <v>25</v>
      </c>
      <c r="F65" s="2">
        <v>30</v>
      </c>
      <c r="G65" s="2">
        <v>1</v>
      </c>
      <c r="H65" s="2">
        <v>32</v>
      </c>
      <c r="I65" s="2">
        <f>IF(H65=0,H65*0%,IF(H65=35,H65*2%,IF(H65=60,H65*5%,IF(H65=100,H65*6%,IF(H65=140,H65*8%,)))))</f>
        <v>0</v>
      </c>
      <c r="J65" s="2">
        <f>(H65-I65)*F65</f>
        <v>960</v>
      </c>
    </row>
    <row r="66" spans="1:10" ht="16.5" x14ac:dyDescent="0.3">
      <c r="A66" s="4">
        <v>42897</v>
      </c>
      <c r="B66" s="2" t="s">
        <v>15</v>
      </c>
      <c r="C66" s="2">
        <v>1064</v>
      </c>
      <c r="D66" s="2" t="s">
        <v>18</v>
      </c>
      <c r="E66" s="2" t="s">
        <v>24</v>
      </c>
      <c r="F66" s="2">
        <v>30</v>
      </c>
      <c r="G66" s="2">
        <v>1</v>
      </c>
      <c r="H66" s="2">
        <v>75</v>
      </c>
      <c r="I66" s="2">
        <f>IF(H66=0,H66*0%,IF(H66=35,H66*2%,IF(H66=60,H66*5%,IF(H66=100,H66*6%,IF(H66=140,H66*8%,)))))</f>
        <v>0</v>
      </c>
      <c r="J66" s="2">
        <f>(H66-I66)*F66</f>
        <v>2250</v>
      </c>
    </row>
    <row r="67" spans="1:10" ht="16.5" x14ac:dyDescent="0.3">
      <c r="A67" s="4">
        <v>42779</v>
      </c>
      <c r="B67" s="2" t="s">
        <v>15</v>
      </c>
      <c r="C67" s="2">
        <v>1065</v>
      </c>
      <c r="D67" s="2" t="s">
        <v>11</v>
      </c>
      <c r="E67" s="2" t="s">
        <v>22</v>
      </c>
      <c r="F67" s="2">
        <v>30</v>
      </c>
      <c r="G67" s="2">
        <v>1</v>
      </c>
      <c r="H67" s="2">
        <v>105</v>
      </c>
      <c r="I67" s="2">
        <f>IF(H67=0,H67*0%,IF(H67=35,H67*2%,IF(H67=60,H67*5%,IF(H67=100,H67*6%,IF(H67=140,H67*8%,)))))</f>
        <v>0</v>
      </c>
      <c r="J67" s="2">
        <f>(H67-I67)*F67</f>
        <v>3150</v>
      </c>
    </row>
    <row r="68" spans="1:10" ht="16.5" x14ac:dyDescent="0.3">
      <c r="A68" s="4">
        <v>42745</v>
      </c>
      <c r="B68" s="2" t="s">
        <v>13</v>
      </c>
      <c r="C68" s="2">
        <v>1066</v>
      </c>
      <c r="D68" s="2" t="s">
        <v>14</v>
      </c>
      <c r="E68" s="2" t="s">
        <v>17</v>
      </c>
      <c r="F68" s="2">
        <v>50</v>
      </c>
      <c r="G68" s="2">
        <v>1</v>
      </c>
      <c r="H68" s="2">
        <v>80</v>
      </c>
      <c r="I68" s="2">
        <f>IF(H68=0,H68*0%,IF(H68=35,H68*2%,IF(H68=60,H68*5%,IF(H68=100,H68*6%,IF(H68=140,H68*8%,)))))</f>
        <v>0</v>
      </c>
      <c r="J68" s="2">
        <f>(H68-I68)*F68</f>
        <v>4000</v>
      </c>
    </row>
    <row r="69" spans="1:10" ht="16.5" x14ac:dyDescent="0.3">
      <c r="A69" s="4">
        <v>42824</v>
      </c>
      <c r="B69" s="2" t="s">
        <v>10</v>
      </c>
      <c r="C69" s="2">
        <v>1067</v>
      </c>
      <c r="D69" s="2" t="s">
        <v>14</v>
      </c>
      <c r="E69" s="2" t="s">
        <v>12</v>
      </c>
      <c r="F69" s="2">
        <v>70</v>
      </c>
      <c r="G69" s="2">
        <v>1</v>
      </c>
      <c r="H69" s="2">
        <v>45</v>
      </c>
      <c r="I69" s="2">
        <f>IF(H69=0,H69*0%,IF(H69=35,H69*2%,IF(H69=60,H69*5%,IF(H69=100,H69*6%,IF(H69=140,H69*8%,)))))</f>
        <v>0</v>
      </c>
      <c r="J69" s="2">
        <f>(H69-I69)*F69</f>
        <v>3150</v>
      </c>
    </row>
    <row r="70" spans="1:10" ht="16.5" x14ac:dyDescent="0.3">
      <c r="A70" s="4">
        <v>42814</v>
      </c>
      <c r="B70" s="2" t="s">
        <v>13</v>
      </c>
      <c r="C70" s="2">
        <v>1068</v>
      </c>
      <c r="D70" s="2" t="s">
        <v>18</v>
      </c>
      <c r="E70" s="2" t="s">
        <v>17</v>
      </c>
      <c r="F70" s="2">
        <v>50</v>
      </c>
      <c r="G70" s="2">
        <v>1</v>
      </c>
      <c r="H70" s="2">
        <v>130</v>
      </c>
      <c r="I70" s="2">
        <f>IF(H70=0,H70*0%,IF(H70=35,H70*2%,IF(H70=60,H70*5%,IF(H70=100,H70*6%,IF(H70=140,H70*8%,)))))</f>
        <v>0</v>
      </c>
      <c r="J70" s="2">
        <f>(H70-I70)*F70</f>
        <v>6500</v>
      </c>
    </row>
    <row r="71" spans="1:10" ht="16.5" x14ac:dyDescent="0.3">
      <c r="A71" s="4">
        <v>42853</v>
      </c>
      <c r="B71" s="2" t="s">
        <v>10</v>
      </c>
      <c r="C71" s="2">
        <v>1069</v>
      </c>
      <c r="D71" s="2" t="s">
        <v>23</v>
      </c>
      <c r="E71" s="2" t="s">
        <v>20</v>
      </c>
      <c r="F71" s="2">
        <v>70</v>
      </c>
      <c r="G71" s="2">
        <v>3</v>
      </c>
      <c r="H71" s="2">
        <v>90</v>
      </c>
      <c r="I71" s="2">
        <f>IF(H71=0,H71*0%,IF(H71=35,H71*2%,IF(H71=60,H71*5%,IF(H71=100,H71*6%,IF(H71=140,H71*8%,)))))</f>
        <v>0</v>
      </c>
      <c r="J71" s="2">
        <f>(H71-I71)*F71</f>
        <v>6300</v>
      </c>
    </row>
    <row r="72" spans="1:10" ht="16.5" x14ac:dyDescent="0.3">
      <c r="A72" s="4">
        <v>42766</v>
      </c>
      <c r="B72" s="2" t="s">
        <v>10</v>
      </c>
      <c r="C72" s="2">
        <v>1070</v>
      </c>
      <c r="D72" s="2" t="s">
        <v>27</v>
      </c>
      <c r="E72" s="2" t="s">
        <v>28</v>
      </c>
      <c r="F72" s="2">
        <v>70</v>
      </c>
      <c r="G72" s="2">
        <v>1</v>
      </c>
      <c r="H72" s="2">
        <v>35</v>
      </c>
      <c r="I72" s="2">
        <f>IF(H72=0,H72*0%,IF(H72=35,H72*2%,IF(H72=60,H72*5%,IF(H72=100,H72*6%,IF(H72=140,H72*8%,)))))</f>
        <v>0.70000000000000007</v>
      </c>
      <c r="J72" s="2">
        <f>(H72-I72)*F72</f>
        <v>2401</v>
      </c>
    </row>
    <row r="73" spans="1:10" ht="16.5" x14ac:dyDescent="0.3">
      <c r="A73" s="4">
        <v>42904</v>
      </c>
      <c r="B73" s="2" t="s">
        <v>15</v>
      </c>
      <c r="C73" s="2">
        <v>1071</v>
      </c>
      <c r="D73" s="2" t="s">
        <v>27</v>
      </c>
      <c r="E73" s="2" t="s">
        <v>21</v>
      </c>
      <c r="F73" s="2">
        <v>30</v>
      </c>
      <c r="G73" s="2">
        <v>1</v>
      </c>
      <c r="H73" s="2">
        <v>75</v>
      </c>
      <c r="I73" s="2">
        <f>IF(H73=0,H73*0%,IF(H73=35,H73*2%,IF(H73=60,H73*5%,IF(H73=100,H73*6%,IF(H73=140,H73*8%,)))))</f>
        <v>0</v>
      </c>
      <c r="J73" s="2">
        <f>(H73-I73)*F73</f>
        <v>2250</v>
      </c>
    </row>
    <row r="74" spans="1:10" ht="16.5" x14ac:dyDescent="0.3">
      <c r="A74" s="4">
        <v>42791</v>
      </c>
      <c r="B74" s="2" t="s">
        <v>10</v>
      </c>
      <c r="C74" s="2">
        <v>1072</v>
      </c>
      <c r="D74" s="2" t="s">
        <v>14</v>
      </c>
      <c r="E74" s="2" t="s">
        <v>21</v>
      </c>
      <c r="F74" s="2">
        <v>70</v>
      </c>
      <c r="G74" s="2">
        <v>2</v>
      </c>
      <c r="H74" s="2">
        <v>80</v>
      </c>
      <c r="I74" s="2">
        <f>IF(H74=0,H74*0%,IF(H74=35,H74*2%,IF(H74=60,H74*5%,IF(H74=100,H74*6%,IF(H74=140,H74*8%,)))))</f>
        <v>0</v>
      </c>
      <c r="J74" s="2">
        <f>(H74-I74)*F74</f>
        <v>5600</v>
      </c>
    </row>
    <row r="75" spans="1:10" ht="16.5" x14ac:dyDescent="0.3">
      <c r="A75" s="4">
        <v>42860</v>
      </c>
      <c r="B75" s="2" t="s">
        <v>13</v>
      </c>
      <c r="C75" s="2">
        <v>1073</v>
      </c>
      <c r="D75" s="2" t="s">
        <v>11</v>
      </c>
      <c r="E75" s="2" t="s">
        <v>12</v>
      </c>
      <c r="F75" s="2">
        <v>50</v>
      </c>
      <c r="G75" s="2">
        <v>1</v>
      </c>
      <c r="H75" s="2">
        <v>80</v>
      </c>
      <c r="I75" s="2">
        <f>IF(H75=0,H75*0%,IF(H75=35,H75*2%,IF(H75=60,H75*5%,IF(H75=100,H75*6%,IF(H75=140,H75*8%,)))))</f>
        <v>0</v>
      </c>
      <c r="J75" s="2">
        <f>(H75-I75)*F75</f>
        <v>4000</v>
      </c>
    </row>
    <row r="76" spans="1:10" ht="16.5" x14ac:dyDescent="0.3">
      <c r="A76" s="4">
        <v>42745</v>
      </c>
      <c r="B76" s="2" t="s">
        <v>13</v>
      </c>
      <c r="C76" s="2">
        <v>1074</v>
      </c>
      <c r="D76" s="2" t="s">
        <v>23</v>
      </c>
      <c r="E76" s="2" t="s">
        <v>20</v>
      </c>
      <c r="F76" s="2">
        <v>50</v>
      </c>
      <c r="G76" s="2">
        <v>1</v>
      </c>
      <c r="H76" s="2">
        <v>75</v>
      </c>
      <c r="I76" s="2">
        <f>IF(H76=0,H76*0%,IF(H76=35,H76*2%,IF(H76=60,H76*5%,IF(H76=100,H76*6%,IF(H76=140,H76*8%,)))))</f>
        <v>0</v>
      </c>
      <c r="J76" s="2">
        <f>(H76-I76)*F76</f>
        <v>3750</v>
      </c>
    </row>
    <row r="77" spans="1:10" ht="16.5" x14ac:dyDescent="0.3">
      <c r="A77" s="4">
        <v>42801</v>
      </c>
      <c r="B77" s="2" t="s">
        <v>15</v>
      </c>
      <c r="C77" s="2">
        <v>1075</v>
      </c>
      <c r="D77" s="2" t="s">
        <v>27</v>
      </c>
      <c r="E77" s="2" t="s">
        <v>24</v>
      </c>
      <c r="F77" s="2">
        <v>30</v>
      </c>
      <c r="G77" s="2">
        <v>1</v>
      </c>
      <c r="H77" s="2">
        <v>130</v>
      </c>
      <c r="I77" s="2">
        <f>IF(H77=0,H77*0%,IF(H77=35,H77*2%,IF(H77=60,H77*5%,IF(H77=100,H77*6%,IF(H77=140,H77*8%,)))))</f>
        <v>0</v>
      </c>
      <c r="J77" s="2">
        <f>(H77-I77)*F77</f>
        <v>3900</v>
      </c>
    </row>
    <row r="78" spans="1:10" ht="16.5" x14ac:dyDescent="0.3">
      <c r="A78" s="4">
        <v>42791</v>
      </c>
      <c r="B78" s="2" t="s">
        <v>15</v>
      </c>
      <c r="C78" s="2">
        <v>1076</v>
      </c>
      <c r="D78" s="2" t="s">
        <v>11</v>
      </c>
      <c r="E78" s="2" t="s">
        <v>26</v>
      </c>
      <c r="F78" s="2">
        <v>30</v>
      </c>
      <c r="G78" s="2">
        <v>1</v>
      </c>
      <c r="H78" s="2">
        <v>90</v>
      </c>
      <c r="I78" s="2">
        <f>IF(H78=0,H78*0%,IF(H78=35,H78*2%,IF(H78=60,H78*5%,IF(H78=100,H78*6%,IF(H78=140,H78*8%,)))))</f>
        <v>0</v>
      </c>
      <c r="J78" s="2">
        <f>(H78-I78)*F78</f>
        <v>2700</v>
      </c>
    </row>
    <row r="79" spans="1:10" ht="16.5" x14ac:dyDescent="0.3">
      <c r="A79" s="4">
        <v>42861</v>
      </c>
      <c r="B79" s="2" t="s">
        <v>13</v>
      </c>
      <c r="C79" s="2">
        <v>1077</v>
      </c>
      <c r="D79" s="2" t="s">
        <v>11</v>
      </c>
      <c r="E79" s="2" t="s">
        <v>21</v>
      </c>
      <c r="F79" s="2">
        <v>50</v>
      </c>
      <c r="G79" s="2">
        <v>1</v>
      </c>
      <c r="H79" s="2">
        <v>45</v>
      </c>
      <c r="I79" s="2">
        <f>IF(H79=0,H79*0%,IF(H79=35,H79*2%,IF(H79=60,H79*5%,IF(H79=100,H79*6%,IF(H79=140,H79*8%,)))))</f>
        <v>0</v>
      </c>
      <c r="J79" s="2">
        <f>(H79-I79)*F79</f>
        <v>2250</v>
      </c>
    </row>
    <row r="80" spans="1:10" ht="16.5" x14ac:dyDescent="0.3">
      <c r="A80" s="4">
        <v>42794</v>
      </c>
      <c r="B80" s="2" t="s">
        <v>15</v>
      </c>
      <c r="C80" s="2">
        <v>1078</v>
      </c>
      <c r="D80" s="2" t="s">
        <v>14</v>
      </c>
      <c r="E80" s="2" t="s">
        <v>26</v>
      </c>
      <c r="F80" s="2">
        <v>30</v>
      </c>
      <c r="G80" s="2">
        <v>1</v>
      </c>
      <c r="H80" s="2">
        <v>80</v>
      </c>
      <c r="I80" s="2">
        <f>IF(H80=0,H80*0%,IF(H80=35,H80*2%,IF(H80=60,H80*5%,IF(H80=100,H80*6%,IF(H80=140,H80*8%,)))))</f>
        <v>0</v>
      </c>
      <c r="J80" s="2">
        <f>(H80-I80)*F80</f>
        <v>2400</v>
      </c>
    </row>
    <row r="81" spans="1:10" ht="16.5" x14ac:dyDescent="0.3">
      <c r="A81" s="4">
        <v>42851</v>
      </c>
      <c r="B81" s="2" t="s">
        <v>10</v>
      </c>
      <c r="C81" s="2">
        <v>1079</v>
      </c>
      <c r="D81" s="2" t="s">
        <v>18</v>
      </c>
      <c r="E81" s="2" t="s">
        <v>20</v>
      </c>
      <c r="F81" s="2">
        <v>70</v>
      </c>
      <c r="G81" s="2">
        <v>3</v>
      </c>
      <c r="H81" s="2">
        <v>40</v>
      </c>
      <c r="I81" s="2">
        <f>IF(H81=0,H81*0%,IF(H81=35,H81*2%,IF(H81=60,H81*5%,IF(H81=100,H81*6%,IF(H81=140,H81*8%,)))))</f>
        <v>0</v>
      </c>
      <c r="J81" s="2">
        <f>(H81-I81)*F81</f>
        <v>2800</v>
      </c>
    </row>
    <row r="82" spans="1:10" ht="16.5" x14ac:dyDescent="0.3">
      <c r="A82" s="4">
        <v>42744</v>
      </c>
      <c r="B82" s="2" t="s">
        <v>10</v>
      </c>
      <c r="C82" s="2">
        <v>1080</v>
      </c>
      <c r="D82" s="2" t="s">
        <v>11</v>
      </c>
      <c r="E82" s="2" t="s">
        <v>20</v>
      </c>
      <c r="F82" s="2">
        <v>70</v>
      </c>
      <c r="G82" s="2">
        <v>3</v>
      </c>
      <c r="H82" s="2">
        <v>105</v>
      </c>
      <c r="I82" s="2">
        <f>IF(H82=0,H82*0%,IF(H82=35,H82*2%,IF(H82=60,H82*5%,IF(H82=100,H82*6%,IF(H82=140,H82*8%,)))))</f>
        <v>0</v>
      </c>
      <c r="J82" s="2">
        <f>(H82-I82)*F82</f>
        <v>7350</v>
      </c>
    </row>
    <row r="83" spans="1:10" ht="16.5" x14ac:dyDescent="0.3">
      <c r="A83" s="4">
        <v>42915</v>
      </c>
      <c r="B83" s="2" t="s">
        <v>10</v>
      </c>
      <c r="C83" s="2">
        <v>1081</v>
      </c>
      <c r="D83" s="2" t="s">
        <v>18</v>
      </c>
      <c r="E83" s="2" t="s">
        <v>28</v>
      </c>
      <c r="F83" s="2">
        <v>70</v>
      </c>
      <c r="G83" s="2">
        <v>1</v>
      </c>
      <c r="H83" s="2">
        <v>115</v>
      </c>
      <c r="I83" s="2">
        <f>IF(H83=0,H83*0%,IF(H83=35,H83*2%,IF(H83=60,H83*5%,IF(H83=100,H83*6%,IF(H83=140,H83*8%,)))))</f>
        <v>0</v>
      </c>
      <c r="J83" s="2">
        <f>(H83-I83)*F83</f>
        <v>8050</v>
      </c>
    </row>
    <row r="84" spans="1:10" ht="16.5" x14ac:dyDescent="0.3">
      <c r="A84" s="4">
        <v>42764</v>
      </c>
      <c r="B84" s="2" t="s">
        <v>15</v>
      </c>
      <c r="C84" s="2">
        <v>1082</v>
      </c>
      <c r="D84" s="2" t="s">
        <v>16</v>
      </c>
      <c r="E84" s="2" t="s">
        <v>12</v>
      </c>
      <c r="F84" s="2">
        <v>30</v>
      </c>
      <c r="G84" s="2">
        <v>1</v>
      </c>
      <c r="H84" s="2">
        <v>80</v>
      </c>
      <c r="I84" s="2">
        <f>IF(H84=0,H84*0%,IF(H84=35,H84*2%,IF(H84=60,H84*5%,IF(H84=100,H84*6%,IF(H84=140,H84*8%,)))))</f>
        <v>0</v>
      </c>
      <c r="J84" s="2">
        <f>(H84-I84)*F84</f>
        <v>2400</v>
      </c>
    </row>
    <row r="85" spans="1:10" ht="16.5" x14ac:dyDescent="0.3">
      <c r="A85" s="4">
        <v>42907</v>
      </c>
      <c r="B85" s="2" t="s">
        <v>10</v>
      </c>
      <c r="C85" s="2">
        <v>1083</v>
      </c>
      <c r="D85" s="2" t="s">
        <v>23</v>
      </c>
      <c r="E85" s="2" t="s">
        <v>26</v>
      </c>
      <c r="F85" s="2">
        <v>70</v>
      </c>
      <c r="G85" s="2">
        <v>1</v>
      </c>
      <c r="H85" s="2">
        <v>75</v>
      </c>
      <c r="I85" s="2">
        <f>IF(H85=0,H85*0%,IF(H85=35,H85*2%,IF(H85=60,H85*5%,IF(H85=100,H85*6%,IF(H85=140,H85*8%,)))))</f>
        <v>0</v>
      </c>
      <c r="J85" s="2">
        <f>(H85-I85)*F85</f>
        <v>5250</v>
      </c>
    </row>
    <row r="86" spans="1:10" ht="16.5" x14ac:dyDescent="0.3">
      <c r="A86" s="4">
        <v>42767</v>
      </c>
      <c r="B86" s="2" t="s">
        <v>10</v>
      </c>
      <c r="C86" s="2">
        <v>1084</v>
      </c>
      <c r="D86" s="2" t="s">
        <v>11</v>
      </c>
      <c r="E86" s="2" t="s">
        <v>26</v>
      </c>
      <c r="F86" s="2">
        <v>70</v>
      </c>
      <c r="G86" s="2">
        <v>1</v>
      </c>
      <c r="H86" s="2">
        <v>120</v>
      </c>
      <c r="I86" s="2">
        <f>IF(H86=0,H86*0%,IF(H86=35,H86*2%,IF(H86=60,H86*5%,IF(H86=100,H86*6%,IF(H86=140,H86*8%,)))))</f>
        <v>0</v>
      </c>
      <c r="J86" s="2">
        <f>(H86-I86)*F86</f>
        <v>8400</v>
      </c>
    </row>
    <row r="87" spans="1:10" ht="16.5" x14ac:dyDescent="0.3">
      <c r="A87" s="4">
        <v>42749</v>
      </c>
      <c r="B87" s="2" t="s">
        <v>10</v>
      </c>
      <c r="C87" s="2">
        <v>1085</v>
      </c>
      <c r="D87" s="2" t="s">
        <v>16</v>
      </c>
      <c r="E87" s="2" t="s">
        <v>28</v>
      </c>
      <c r="F87" s="2">
        <v>70</v>
      </c>
      <c r="G87" s="2">
        <v>1</v>
      </c>
      <c r="H87" s="2">
        <v>75</v>
      </c>
      <c r="I87" s="2">
        <f>IF(H87=0,H87*0%,IF(H87=35,H87*2%,IF(H87=60,H87*5%,IF(H87=100,H87*6%,IF(H87=140,H87*8%,)))))</f>
        <v>0</v>
      </c>
      <c r="J87" s="2">
        <f>(H87-I87)*F87</f>
        <v>5250</v>
      </c>
    </row>
    <row r="88" spans="1:10" ht="16.5" x14ac:dyDescent="0.3">
      <c r="A88" s="4">
        <v>42839</v>
      </c>
      <c r="B88" s="2" t="s">
        <v>15</v>
      </c>
      <c r="C88" s="2">
        <v>1086</v>
      </c>
      <c r="D88" s="2" t="s">
        <v>16</v>
      </c>
      <c r="E88" s="2" t="s">
        <v>17</v>
      </c>
      <c r="F88" s="2">
        <v>30</v>
      </c>
      <c r="G88" s="2">
        <v>1</v>
      </c>
      <c r="H88" s="2">
        <v>50</v>
      </c>
      <c r="I88" s="2">
        <f>IF(H88=0,H88*0%,IF(H88=35,H88*2%,IF(H88=60,H88*5%,IF(H88=100,H88*6%,IF(H88=140,H88*8%,)))))</f>
        <v>0</v>
      </c>
      <c r="J88" s="2">
        <f>(H88-I88)*F88</f>
        <v>1500</v>
      </c>
    </row>
    <row r="89" spans="1:10" ht="16.5" x14ac:dyDescent="0.3">
      <c r="A89" s="4">
        <v>42881</v>
      </c>
      <c r="B89" s="2" t="s">
        <v>10</v>
      </c>
      <c r="C89" s="2">
        <v>1087</v>
      </c>
      <c r="D89" s="2" t="s">
        <v>14</v>
      </c>
      <c r="E89" s="2" t="s">
        <v>21</v>
      </c>
      <c r="F89" s="2">
        <v>70</v>
      </c>
      <c r="G89" s="2">
        <v>2</v>
      </c>
      <c r="H89" s="2">
        <v>45</v>
      </c>
      <c r="I89" s="2">
        <f>IF(H89=0,H89*0%,IF(H89=35,H89*2%,IF(H89=60,H89*5%,IF(H89=100,H89*6%,IF(H89=140,H89*8%,)))))</f>
        <v>0</v>
      </c>
      <c r="J89" s="2">
        <f>(H89-I89)*F89</f>
        <v>3150</v>
      </c>
    </row>
    <row r="90" spans="1:10" ht="16.5" x14ac:dyDescent="0.3">
      <c r="A90" s="4">
        <v>42900</v>
      </c>
      <c r="B90" s="2" t="s">
        <v>10</v>
      </c>
      <c r="C90" s="2">
        <v>1088</v>
      </c>
      <c r="D90" s="2" t="s">
        <v>16</v>
      </c>
      <c r="E90" s="2" t="s">
        <v>28</v>
      </c>
      <c r="F90" s="2">
        <v>70</v>
      </c>
      <c r="G90" s="2">
        <v>1</v>
      </c>
      <c r="H90" s="2">
        <v>130</v>
      </c>
      <c r="I90" s="2">
        <f>IF(H90=0,H90*0%,IF(H90=35,H90*2%,IF(H90=60,H90*5%,IF(H90=100,H90*6%,IF(H90=140,H90*8%,)))))</f>
        <v>0</v>
      </c>
      <c r="J90" s="2">
        <f>(H90-I90)*F90</f>
        <v>9100</v>
      </c>
    </row>
    <row r="91" spans="1:10" ht="16.5" x14ac:dyDescent="0.3">
      <c r="A91" s="4">
        <v>42782</v>
      </c>
      <c r="B91" s="2" t="s">
        <v>15</v>
      </c>
      <c r="C91" s="2">
        <v>1089</v>
      </c>
      <c r="D91" s="2" t="s">
        <v>11</v>
      </c>
      <c r="E91" s="2" t="s">
        <v>12</v>
      </c>
      <c r="F91" s="2">
        <v>30</v>
      </c>
      <c r="G91" s="2">
        <v>1</v>
      </c>
      <c r="H91" s="2">
        <v>90</v>
      </c>
      <c r="I91" s="2">
        <f>IF(H91=0,H91*0%,IF(H91=35,H91*2%,IF(H91=60,H91*5%,IF(H91=100,H91*6%,IF(H91=140,H91*8%,)))))</f>
        <v>0</v>
      </c>
      <c r="J91" s="2">
        <f>(H91-I91)*F91</f>
        <v>2700</v>
      </c>
    </row>
    <row r="92" spans="1:10" ht="16.5" x14ac:dyDescent="0.3">
      <c r="A92" s="4">
        <v>42904</v>
      </c>
      <c r="B92" s="2" t="s">
        <v>13</v>
      </c>
      <c r="C92" s="2">
        <v>1090</v>
      </c>
      <c r="D92" s="2" t="s">
        <v>23</v>
      </c>
      <c r="E92" s="2" t="s">
        <v>21</v>
      </c>
      <c r="F92" s="2">
        <v>50</v>
      </c>
      <c r="G92" s="2">
        <v>1</v>
      </c>
      <c r="H92" s="2">
        <v>45</v>
      </c>
      <c r="I92" s="2">
        <f>IF(H92=0,H92*0%,IF(H92=35,H92*2%,IF(H92=60,H92*5%,IF(H92=100,H92*6%,IF(H92=140,H92*8%,)))))</f>
        <v>0</v>
      </c>
      <c r="J92" s="2">
        <f>(H92-I92)*F92</f>
        <v>2250</v>
      </c>
    </row>
    <row r="93" spans="1:10" ht="16.5" x14ac:dyDescent="0.3">
      <c r="A93" s="4">
        <v>42867</v>
      </c>
      <c r="B93" s="2" t="s">
        <v>13</v>
      </c>
      <c r="C93" s="2">
        <v>1091</v>
      </c>
      <c r="D93" s="2" t="s">
        <v>27</v>
      </c>
      <c r="E93" s="2" t="s">
        <v>17</v>
      </c>
      <c r="F93" s="2">
        <v>50</v>
      </c>
      <c r="G93" s="2">
        <v>1</v>
      </c>
      <c r="H93" s="2">
        <v>50</v>
      </c>
      <c r="I93" s="2">
        <f>IF(H93=0,H93*0%,IF(H93=35,H93*2%,IF(H93=60,H93*5%,IF(H93=100,H93*6%,IF(H93=140,H93*8%,)))))</f>
        <v>0</v>
      </c>
      <c r="J93" s="2">
        <f>(H93-I93)*F93</f>
        <v>2500</v>
      </c>
    </row>
    <row r="94" spans="1:10" ht="16.5" x14ac:dyDescent="0.3">
      <c r="A94" s="4">
        <v>42874</v>
      </c>
      <c r="B94" s="2" t="s">
        <v>13</v>
      </c>
      <c r="C94" s="2">
        <v>1092</v>
      </c>
      <c r="D94" s="2" t="s">
        <v>27</v>
      </c>
      <c r="E94" s="2" t="s">
        <v>25</v>
      </c>
      <c r="F94" s="2">
        <v>50</v>
      </c>
      <c r="G94" s="2">
        <v>1</v>
      </c>
      <c r="H94" s="2">
        <v>50</v>
      </c>
      <c r="I94" s="2">
        <f>IF(H94=0,H94*0%,IF(H94=35,H94*2%,IF(H94=60,H94*5%,IF(H94=100,H94*6%,IF(H94=140,H94*8%,)))))</f>
        <v>0</v>
      </c>
      <c r="J94" s="2">
        <f>(H94-I94)*F94</f>
        <v>2500</v>
      </c>
    </row>
    <row r="95" spans="1:10" ht="16.5" x14ac:dyDescent="0.3">
      <c r="A95" s="4">
        <v>42856</v>
      </c>
      <c r="B95" s="2" t="s">
        <v>13</v>
      </c>
      <c r="C95" s="2">
        <v>1093</v>
      </c>
      <c r="D95" s="2" t="s">
        <v>11</v>
      </c>
      <c r="E95" s="2" t="s">
        <v>20</v>
      </c>
      <c r="F95" s="2">
        <v>50</v>
      </c>
      <c r="G95" s="2">
        <v>1</v>
      </c>
      <c r="H95" s="2">
        <v>45</v>
      </c>
      <c r="I95" s="2">
        <f>IF(H95=0,H95*0%,IF(H95=35,H95*2%,IF(H95=60,H95*5%,IF(H95=100,H95*6%,IF(H95=140,H95*8%,)))))</f>
        <v>0</v>
      </c>
      <c r="J95" s="2">
        <f>(H95-I95)*F95</f>
        <v>2250</v>
      </c>
    </row>
    <row r="96" spans="1:10" ht="16.5" x14ac:dyDescent="0.3">
      <c r="A96" s="4">
        <v>42819</v>
      </c>
      <c r="B96" s="2" t="s">
        <v>15</v>
      </c>
      <c r="C96" s="2">
        <v>1094</v>
      </c>
      <c r="D96" s="2" t="s">
        <v>14</v>
      </c>
      <c r="E96" s="2" t="s">
        <v>28</v>
      </c>
      <c r="F96" s="2">
        <v>30</v>
      </c>
      <c r="G96" s="2">
        <v>1</v>
      </c>
      <c r="H96" s="2">
        <v>130</v>
      </c>
      <c r="I96" s="2">
        <f>IF(H96=0,H96*0%,IF(H96=35,H96*2%,IF(H96=60,H96*5%,IF(H96=100,H96*6%,IF(H96=140,H96*8%,)))))</f>
        <v>0</v>
      </c>
      <c r="J96" s="2">
        <f>(H96-I96)*F96</f>
        <v>3900</v>
      </c>
    </row>
    <row r="97" spans="1:10" ht="16.5" x14ac:dyDescent="0.3">
      <c r="A97" s="4">
        <v>42755</v>
      </c>
      <c r="B97" s="2" t="s">
        <v>13</v>
      </c>
      <c r="C97" s="2">
        <v>1095</v>
      </c>
      <c r="D97" s="2" t="s">
        <v>23</v>
      </c>
      <c r="E97" s="2" t="s">
        <v>24</v>
      </c>
      <c r="F97" s="2">
        <v>50</v>
      </c>
      <c r="G97" s="2">
        <v>1</v>
      </c>
      <c r="H97" s="2">
        <v>80</v>
      </c>
      <c r="I97" s="2">
        <f>IF(H97=0,H97*0%,IF(H97=35,H97*2%,IF(H97=60,H97*5%,IF(H97=100,H97*6%,IF(H97=140,H97*8%,)))))</f>
        <v>0</v>
      </c>
      <c r="J97" s="2">
        <f>(H97-I97)*F97</f>
        <v>4000</v>
      </c>
    </row>
    <row r="98" spans="1:10" ht="16.5" x14ac:dyDescent="0.3">
      <c r="A98" s="4">
        <v>42913</v>
      </c>
      <c r="B98" s="2" t="s">
        <v>15</v>
      </c>
      <c r="C98" s="2">
        <v>1096</v>
      </c>
      <c r="D98" s="2" t="s">
        <v>18</v>
      </c>
      <c r="E98" s="2" t="s">
        <v>19</v>
      </c>
      <c r="F98" s="2">
        <v>30</v>
      </c>
      <c r="G98" s="2">
        <v>1</v>
      </c>
      <c r="H98" s="2">
        <v>50</v>
      </c>
      <c r="I98" s="2">
        <f>IF(H98=0,H98*0%,IF(H98=35,H98*2%,IF(H98=60,H98*5%,IF(H98=100,H98*6%,IF(H98=140,H98*8%,)))))</f>
        <v>0</v>
      </c>
      <c r="J98" s="2">
        <f>(H98-I98)*F98</f>
        <v>1500</v>
      </c>
    </row>
    <row r="99" spans="1:10" ht="16.5" x14ac:dyDescent="0.3">
      <c r="A99" s="4">
        <v>42806</v>
      </c>
      <c r="B99" s="2" t="s">
        <v>13</v>
      </c>
      <c r="C99" s="2">
        <v>1097</v>
      </c>
      <c r="D99" s="2" t="s">
        <v>11</v>
      </c>
      <c r="E99" s="2" t="s">
        <v>19</v>
      </c>
      <c r="F99" s="2">
        <v>50</v>
      </c>
      <c r="G99" s="2">
        <v>1</v>
      </c>
      <c r="H99" s="2">
        <v>75</v>
      </c>
      <c r="I99" s="2">
        <f>IF(H99=0,H99*0%,IF(H99=35,H99*2%,IF(H99=60,H99*5%,IF(H99=100,H99*6%,IF(H99=140,H99*8%,)))))</f>
        <v>0</v>
      </c>
      <c r="J99" s="2">
        <f>(H99-I99)*F99</f>
        <v>3750</v>
      </c>
    </row>
    <row r="100" spans="1:10" ht="16.5" x14ac:dyDescent="0.3">
      <c r="A100" s="4">
        <v>42865</v>
      </c>
      <c r="B100" s="2" t="s">
        <v>10</v>
      </c>
      <c r="C100" s="2">
        <v>1098</v>
      </c>
      <c r="D100" s="2" t="s">
        <v>18</v>
      </c>
      <c r="E100" s="2" t="s">
        <v>19</v>
      </c>
      <c r="F100" s="2">
        <v>70</v>
      </c>
      <c r="G100" s="2">
        <v>1</v>
      </c>
      <c r="H100" s="2">
        <v>80</v>
      </c>
      <c r="I100" s="2">
        <f>IF(H100=0,H100*0%,IF(H100=35,H100*2%,IF(H100=60,H100*5%,IF(H100=100,H100*6%,IF(H100=140,H100*8%,)))))</f>
        <v>0</v>
      </c>
      <c r="J100" s="2">
        <f>(H100-I100)*F100</f>
        <v>5600</v>
      </c>
    </row>
    <row r="101" spans="1:10" ht="16.5" x14ac:dyDescent="0.3">
      <c r="A101" s="4">
        <v>42903</v>
      </c>
      <c r="B101" s="2" t="s">
        <v>10</v>
      </c>
      <c r="C101" s="2">
        <v>1099</v>
      </c>
      <c r="D101" s="2" t="s">
        <v>11</v>
      </c>
      <c r="E101" s="2" t="s">
        <v>19</v>
      </c>
      <c r="F101" s="2">
        <v>70</v>
      </c>
      <c r="G101" s="2">
        <v>1</v>
      </c>
      <c r="H101" s="2">
        <v>45</v>
      </c>
      <c r="I101" s="2">
        <f>IF(H101=0,H101*0%,IF(H101=35,H101*2%,IF(H101=60,H101*5%,IF(H101=100,H101*6%,IF(H101=140,H101*8%,)))))</f>
        <v>0</v>
      </c>
      <c r="J101" s="2">
        <f>(H101-I101)*F101</f>
        <v>3150</v>
      </c>
    </row>
    <row r="102" spans="1:10" ht="16.5" x14ac:dyDescent="0.3">
      <c r="A102" s="4">
        <v>42752</v>
      </c>
      <c r="B102" s="2" t="s">
        <v>10</v>
      </c>
      <c r="C102" s="2">
        <v>1100</v>
      </c>
      <c r="D102" s="2" t="s">
        <v>11</v>
      </c>
      <c r="E102" s="2" t="s">
        <v>12</v>
      </c>
      <c r="F102" s="2">
        <v>70</v>
      </c>
      <c r="G102" s="2">
        <v>1</v>
      </c>
      <c r="H102" s="2">
        <v>115</v>
      </c>
      <c r="I102" s="2">
        <f>IF(H102=0,H102*0%,IF(H102=35,H102*2%,IF(H102=60,H102*5%,IF(H102=100,H102*6%,IF(H102=140,H102*8%,)))))</f>
        <v>0</v>
      </c>
      <c r="J102" s="2">
        <f>(H102-I102)*F102</f>
        <v>8050</v>
      </c>
    </row>
    <row r="103" spans="1:10" ht="16.5" x14ac:dyDescent="0.3">
      <c r="A103" s="4">
        <v>42847</v>
      </c>
      <c r="B103" s="2" t="s">
        <v>13</v>
      </c>
      <c r="C103" s="2">
        <v>1101</v>
      </c>
      <c r="D103" s="2" t="s">
        <v>14</v>
      </c>
      <c r="E103" s="2" t="s">
        <v>12</v>
      </c>
      <c r="F103" s="2">
        <v>50</v>
      </c>
      <c r="G103" s="2">
        <v>1</v>
      </c>
      <c r="H103" s="2">
        <v>60</v>
      </c>
      <c r="I103" s="2">
        <f>IF(H103=0,H103*0%,IF(H103=35,H103*2%,IF(H103=60,H103*5%,IF(H103=100,H103*6%,IF(H103=140,H103*8%,)))))</f>
        <v>3</v>
      </c>
      <c r="J103" s="2">
        <f>(H103-I103)*F103</f>
        <v>2850</v>
      </c>
    </row>
    <row r="104" spans="1:10" ht="16.5" x14ac:dyDescent="0.3">
      <c r="A104" s="4">
        <v>42913</v>
      </c>
      <c r="B104" s="2" t="s">
        <v>15</v>
      </c>
      <c r="C104" s="2">
        <v>1102</v>
      </c>
      <c r="D104" s="2" t="s">
        <v>16</v>
      </c>
      <c r="E104" s="2" t="s">
        <v>12</v>
      </c>
      <c r="F104" s="2">
        <v>30</v>
      </c>
      <c r="G104" s="2">
        <v>1</v>
      </c>
      <c r="H104" s="2">
        <v>110</v>
      </c>
      <c r="I104" s="2">
        <f>IF(H104=0,H104*0%,IF(H104=35,H104*2%,IF(H104=60,H104*5%,IF(H104=100,H104*6%,IF(H104=140,H104*8%,)))))</f>
        <v>0</v>
      </c>
      <c r="J104" s="2">
        <f>(H104-I104)*F104</f>
        <v>3300</v>
      </c>
    </row>
    <row r="105" spans="1:10" ht="16.5" x14ac:dyDescent="0.3">
      <c r="A105" s="4">
        <v>42887</v>
      </c>
      <c r="B105" s="2" t="s">
        <v>10</v>
      </c>
      <c r="C105" s="2">
        <v>1103</v>
      </c>
      <c r="D105" s="2" t="s">
        <v>16</v>
      </c>
      <c r="E105" s="2" t="s">
        <v>17</v>
      </c>
      <c r="F105" s="2">
        <v>70</v>
      </c>
      <c r="G105" s="2">
        <v>1</v>
      </c>
      <c r="H105" s="2">
        <v>40</v>
      </c>
      <c r="I105" s="2">
        <f>IF(H105=0,H105*0%,IF(H105=35,H105*2%,IF(H105=60,H105*5%,IF(H105=100,H105*6%,IF(H105=140,H105*8%,)))))</f>
        <v>0</v>
      </c>
      <c r="J105" s="2">
        <f>(H105-I105)*F105</f>
        <v>2800</v>
      </c>
    </row>
    <row r="106" spans="1:10" ht="16.5" x14ac:dyDescent="0.3">
      <c r="A106" s="4">
        <v>42787</v>
      </c>
      <c r="B106" s="2" t="s">
        <v>13</v>
      </c>
      <c r="C106" s="2">
        <v>1104</v>
      </c>
      <c r="D106" s="2" t="s">
        <v>18</v>
      </c>
      <c r="E106" s="2" t="s">
        <v>19</v>
      </c>
      <c r="F106" s="2">
        <v>50</v>
      </c>
      <c r="G106" s="2">
        <v>1</v>
      </c>
      <c r="H106" s="2">
        <v>40</v>
      </c>
      <c r="I106" s="2">
        <f>IF(H106=0,H106*0%,IF(H106=35,H106*2%,IF(H106=60,H106*5%,IF(H106=100,H106*6%,IF(H106=140,H106*8%,)))))</f>
        <v>0</v>
      </c>
      <c r="J106" s="2">
        <f>(H106-I106)*F106</f>
        <v>2000</v>
      </c>
    </row>
    <row r="107" spans="1:10" ht="16.5" x14ac:dyDescent="0.3">
      <c r="A107" s="4">
        <v>42843</v>
      </c>
      <c r="B107" s="2" t="s">
        <v>13</v>
      </c>
      <c r="C107" s="2">
        <v>1105</v>
      </c>
      <c r="D107" s="2" t="s">
        <v>16</v>
      </c>
      <c r="E107" s="2" t="s">
        <v>20</v>
      </c>
      <c r="F107" s="2">
        <v>50</v>
      </c>
      <c r="G107" s="2">
        <v>1</v>
      </c>
      <c r="H107" s="2">
        <v>90</v>
      </c>
      <c r="I107" s="2">
        <f>IF(H107=0,H107*0%,IF(H107=35,H107*2%,IF(H107=60,H107*5%,IF(H107=100,H107*6%,IF(H107=140,H107*8%,)))))</f>
        <v>0</v>
      </c>
      <c r="J107" s="2">
        <f>(H107-I107)*F107</f>
        <v>4500</v>
      </c>
    </row>
    <row r="108" spans="1:10" ht="16.5" x14ac:dyDescent="0.3">
      <c r="A108" s="4">
        <v>42883</v>
      </c>
      <c r="B108" s="2" t="s">
        <v>13</v>
      </c>
      <c r="C108" s="2">
        <v>1106</v>
      </c>
      <c r="D108" s="2" t="s">
        <v>14</v>
      </c>
      <c r="E108" s="2" t="s">
        <v>21</v>
      </c>
      <c r="F108" s="2">
        <v>50</v>
      </c>
      <c r="G108" s="2">
        <v>1</v>
      </c>
      <c r="H108" s="2">
        <v>50</v>
      </c>
      <c r="I108" s="2">
        <f>IF(H108=0,H108*0%,IF(H108=35,H108*2%,IF(H108=60,H108*5%,IF(H108=100,H108*6%,IF(H108=140,H108*8%,)))))</f>
        <v>0</v>
      </c>
      <c r="J108" s="2">
        <f>(H108-I108)*F108</f>
        <v>2500</v>
      </c>
    </row>
    <row r="109" spans="1:10" ht="16.5" x14ac:dyDescent="0.3">
      <c r="A109" s="4">
        <v>42737</v>
      </c>
      <c r="B109" s="2" t="s">
        <v>15</v>
      </c>
      <c r="C109" s="2">
        <v>1107</v>
      </c>
      <c r="D109" s="2" t="s">
        <v>16</v>
      </c>
      <c r="E109" s="2" t="s">
        <v>22</v>
      </c>
      <c r="F109" s="2">
        <v>30</v>
      </c>
      <c r="G109" s="2">
        <v>1</v>
      </c>
      <c r="H109" s="2">
        <v>160</v>
      </c>
      <c r="I109" s="2">
        <f>IF(H109=0,H109*0%,IF(H109=35,H109*2%,IF(H109=60,H109*5%,IF(H109=100,H109*6%,IF(H109=140,H109*8%,)))))</f>
        <v>0</v>
      </c>
      <c r="J109" s="2">
        <f>(H109-I109)*F109</f>
        <v>4800</v>
      </c>
    </row>
    <row r="110" spans="1:10" ht="16.5" x14ac:dyDescent="0.3">
      <c r="A110" s="4">
        <v>42883</v>
      </c>
      <c r="B110" s="2" t="s">
        <v>10</v>
      </c>
      <c r="C110" s="2">
        <v>1108</v>
      </c>
      <c r="D110" s="2" t="s">
        <v>23</v>
      </c>
      <c r="E110" s="2" t="s">
        <v>24</v>
      </c>
      <c r="F110" s="2">
        <v>70</v>
      </c>
      <c r="G110" s="2">
        <v>1</v>
      </c>
      <c r="H110" s="2">
        <v>105</v>
      </c>
      <c r="I110" s="2">
        <f>IF(H110=0,H110*0%,IF(H110=35,H110*2%,IF(H110=60,H110*5%,IF(H110=100,H110*6%,IF(H110=140,H110*8%,)))))</f>
        <v>0</v>
      </c>
      <c r="J110" s="2">
        <f>(H110-I110)*F110</f>
        <v>7350</v>
      </c>
    </row>
    <row r="111" spans="1:10" ht="16.5" x14ac:dyDescent="0.3">
      <c r="A111" s="4">
        <v>42786</v>
      </c>
      <c r="B111" s="2" t="s">
        <v>15</v>
      </c>
      <c r="C111" s="2">
        <v>1109</v>
      </c>
      <c r="D111" s="2" t="s">
        <v>14</v>
      </c>
      <c r="E111" s="2" t="s">
        <v>19</v>
      </c>
      <c r="F111" s="2">
        <v>30</v>
      </c>
      <c r="G111" s="2">
        <v>1</v>
      </c>
      <c r="H111" s="2">
        <v>60</v>
      </c>
      <c r="I111" s="2">
        <f>IF(H111=0,H111*0%,IF(H111=35,H111*2%,IF(H111=60,H111*5%,IF(H111=100,H111*6%,IF(H111=140,H111*8%,)))))</f>
        <v>3</v>
      </c>
      <c r="J111" s="2">
        <f>(H111-I111)*F111</f>
        <v>1710</v>
      </c>
    </row>
    <row r="112" spans="1:10" ht="16.5" x14ac:dyDescent="0.3">
      <c r="A112" s="4">
        <v>42896</v>
      </c>
      <c r="B112" s="2" t="s">
        <v>13</v>
      </c>
      <c r="C112" s="2">
        <v>1110</v>
      </c>
      <c r="D112" s="2" t="s">
        <v>23</v>
      </c>
      <c r="E112" s="2" t="s">
        <v>25</v>
      </c>
      <c r="F112" s="2">
        <v>50</v>
      </c>
      <c r="G112" s="2">
        <v>1</v>
      </c>
      <c r="H112" s="2">
        <v>160</v>
      </c>
      <c r="I112" s="2">
        <f>IF(H112=0,H112*0%,IF(H112=35,H112*2%,IF(H112=60,H112*5%,IF(H112=100,H112*6%,IF(H112=140,H112*8%,)))))</f>
        <v>0</v>
      </c>
      <c r="J112" s="2">
        <f>(H112-I112)*F112</f>
        <v>8000</v>
      </c>
    </row>
    <row r="113" spans="1:10" ht="16.5" x14ac:dyDescent="0.3">
      <c r="A113" s="4">
        <v>42910</v>
      </c>
      <c r="B113" s="2" t="s">
        <v>15</v>
      </c>
      <c r="C113" s="2">
        <v>1111</v>
      </c>
      <c r="D113" s="2" t="s">
        <v>18</v>
      </c>
      <c r="E113" s="2" t="s">
        <v>17</v>
      </c>
      <c r="F113" s="2">
        <v>30</v>
      </c>
      <c r="G113" s="2">
        <v>1</v>
      </c>
      <c r="H113" s="2">
        <v>35</v>
      </c>
      <c r="I113" s="2">
        <f>IF(H113=0,H113*0%,IF(H113=35,H113*2%,IF(H113=60,H113*5%,IF(H113=100,H113*6%,IF(H113=140,H113*8%,)))))</f>
        <v>0.70000000000000007</v>
      </c>
      <c r="J113" s="2">
        <f>(H113-I113)*F113</f>
        <v>1029</v>
      </c>
    </row>
    <row r="114" spans="1:10" ht="16.5" x14ac:dyDescent="0.3">
      <c r="A114" s="4">
        <v>42797</v>
      </c>
      <c r="B114" s="2" t="s">
        <v>15</v>
      </c>
      <c r="C114" s="2">
        <v>1112</v>
      </c>
      <c r="D114" s="2" t="s">
        <v>14</v>
      </c>
      <c r="E114" s="2" t="s">
        <v>20</v>
      </c>
      <c r="F114" s="2">
        <v>30</v>
      </c>
      <c r="G114" s="2">
        <v>1</v>
      </c>
      <c r="H114" s="2">
        <v>40</v>
      </c>
      <c r="I114" s="2">
        <f>IF(H114=0,H114*0%,IF(H114=35,H114*2%,IF(H114=60,H114*5%,IF(H114=100,H114*6%,IF(H114=140,H114*8%,)))))</f>
        <v>0</v>
      </c>
      <c r="J114" s="2">
        <f>(H114-I114)*F114</f>
        <v>1200</v>
      </c>
    </row>
    <row r="115" spans="1:10" ht="16.5" x14ac:dyDescent="0.3">
      <c r="A115" s="4">
        <v>42806</v>
      </c>
      <c r="B115" s="2" t="s">
        <v>15</v>
      </c>
      <c r="C115" s="2">
        <v>1113</v>
      </c>
      <c r="D115" s="2" t="s">
        <v>18</v>
      </c>
      <c r="E115" s="2" t="s">
        <v>21</v>
      </c>
      <c r="F115" s="2">
        <v>30</v>
      </c>
      <c r="G115" s="2">
        <v>1</v>
      </c>
      <c r="H115" s="2">
        <v>160</v>
      </c>
      <c r="I115" s="2">
        <f>IF(H115=0,H115*0%,IF(H115=35,H115*2%,IF(H115=60,H115*5%,IF(H115=100,H115*6%,IF(H115=140,H115*8%,)))))</f>
        <v>0</v>
      </c>
      <c r="J115" s="2">
        <f>(H115-I115)*F115</f>
        <v>4800</v>
      </c>
    </row>
    <row r="116" spans="1:10" ht="16.5" x14ac:dyDescent="0.3">
      <c r="A116" s="4">
        <v>42809</v>
      </c>
      <c r="B116" s="2" t="s">
        <v>13</v>
      </c>
      <c r="C116" s="2">
        <v>1114</v>
      </c>
      <c r="D116" s="2" t="s">
        <v>16</v>
      </c>
      <c r="E116" s="2" t="s">
        <v>26</v>
      </c>
      <c r="F116" s="2">
        <v>50</v>
      </c>
      <c r="G116" s="2">
        <v>1</v>
      </c>
      <c r="H116" s="2">
        <v>100</v>
      </c>
      <c r="I116" s="2">
        <f>IF(H116=0,H116*0%,IF(H116=35,H116*2%,IF(H116=60,H116*5%,IF(H116=100,H116*6%,IF(H116=140,H116*8%,)))))</f>
        <v>6</v>
      </c>
      <c r="J116" s="2">
        <f>(H116-I116)*F116</f>
        <v>4700</v>
      </c>
    </row>
    <row r="117" spans="1:10" ht="16.5" x14ac:dyDescent="0.3">
      <c r="A117" s="4">
        <v>42795</v>
      </c>
      <c r="B117" s="2" t="s">
        <v>10</v>
      </c>
      <c r="C117" s="2">
        <v>1115</v>
      </c>
      <c r="D117" s="2" t="s">
        <v>16</v>
      </c>
      <c r="E117" s="2" t="s">
        <v>20</v>
      </c>
      <c r="F117" s="2">
        <v>70</v>
      </c>
      <c r="G117" s="2">
        <v>3</v>
      </c>
      <c r="H117" s="2">
        <v>50</v>
      </c>
      <c r="I117" s="2">
        <f>IF(H117=0,H117*0%,IF(H117=35,H117*2%,IF(H117=60,H117*5%,IF(H117=100,H117*6%,IF(H117=140,H117*8%,)))))</f>
        <v>0</v>
      </c>
      <c r="J117" s="2">
        <f>(H117-I117)*F117</f>
        <v>3500</v>
      </c>
    </row>
    <row r="118" spans="1:10" ht="16.5" x14ac:dyDescent="0.3">
      <c r="A118" s="4">
        <v>42812</v>
      </c>
      <c r="B118" s="2" t="s">
        <v>15</v>
      </c>
      <c r="C118" s="2">
        <v>1116</v>
      </c>
      <c r="D118" s="2" t="s">
        <v>23</v>
      </c>
      <c r="E118" s="2" t="s">
        <v>12</v>
      </c>
      <c r="F118" s="2">
        <v>30</v>
      </c>
      <c r="G118" s="2">
        <v>1</v>
      </c>
      <c r="H118" s="2">
        <v>180</v>
      </c>
      <c r="I118" s="2">
        <f>IF(H118=0,H118*0%,IF(H118=35,H118*2%,IF(H118=60,H118*5%,IF(H118=100,H118*6%,IF(H118=140,H118*8%,)))))</f>
        <v>0</v>
      </c>
      <c r="J118" s="2">
        <f>(H118-I118)*F118</f>
        <v>5400</v>
      </c>
    </row>
    <row r="119" spans="1:10" ht="16.5" x14ac:dyDescent="0.3">
      <c r="A119" s="4">
        <v>42772</v>
      </c>
      <c r="B119" s="2" t="s">
        <v>13</v>
      </c>
      <c r="C119" s="2">
        <v>1117</v>
      </c>
      <c r="D119" s="2" t="s">
        <v>27</v>
      </c>
      <c r="E119" s="2" t="s">
        <v>22</v>
      </c>
      <c r="F119" s="2">
        <v>50</v>
      </c>
      <c r="G119" s="2">
        <v>1</v>
      </c>
      <c r="H119" s="2">
        <v>75</v>
      </c>
      <c r="I119" s="2">
        <f>IF(H119=0,H119*0%,IF(H119=35,H119*2%,IF(H119=60,H119*5%,IF(H119=100,H119*6%,IF(H119=140,H119*8%,)))))</f>
        <v>0</v>
      </c>
      <c r="J119" s="2">
        <f>(H119-I119)*F119</f>
        <v>3750</v>
      </c>
    </row>
    <row r="120" spans="1:10" ht="16.5" x14ac:dyDescent="0.3">
      <c r="A120" s="4">
        <v>42821</v>
      </c>
      <c r="B120" s="2" t="s">
        <v>10</v>
      </c>
      <c r="C120" s="2">
        <v>1118</v>
      </c>
      <c r="D120" s="2" t="s">
        <v>18</v>
      </c>
      <c r="E120" s="2" t="s">
        <v>19</v>
      </c>
      <c r="F120" s="2">
        <v>70</v>
      </c>
      <c r="G120" s="2">
        <v>1</v>
      </c>
      <c r="H120" s="2">
        <v>120</v>
      </c>
      <c r="I120" s="2">
        <f>IF(H120=0,H120*0%,IF(H120=35,H120*2%,IF(H120=60,H120*5%,IF(H120=100,H120*6%,IF(H120=140,H120*8%,)))))</f>
        <v>0</v>
      </c>
      <c r="J120" s="2">
        <f>(H120-I120)*F120</f>
        <v>8400</v>
      </c>
    </row>
    <row r="121" spans="1:10" ht="16.5" x14ac:dyDescent="0.3">
      <c r="A121" s="4">
        <v>42785</v>
      </c>
      <c r="B121" s="2" t="s">
        <v>13</v>
      </c>
      <c r="C121" s="2">
        <v>1119</v>
      </c>
      <c r="D121" s="2" t="s">
        <v>14</v>
      </c>
      <c r="E121" s="2" t="s">
        <v>19</v>
      </c>
      <c r="F121" s="2">
        <v>50</v>
      </c>
      <c r="G121" s="2">
        <v>1</v>
      </c>
      <c r="H121" s="2">
        <v>75</v>
      </c>
      <c r="I121" s="2">
        <f>IF(H121=0,H121*0%,IF(H121=35,H121*2%,IF(H121=60,H121*5%,IF(H121=100,H121*6%,IF(H121=140,H121*8%,)))))</f>
        <v>0</v>
      </c>
      <c r="J121" s="2">
        <f>(H121-I121)*F121</f>
        <v>3750</v>
      </c>
    </row>
    <row r="122" spans="1:10" ht="16.5" x14ac:dyDescent="0.3">
      <c r="A122" s="4">
        <v>42880</v>
      </c>
      <c r="B122" s="2" t="s">
        <v>13</v>
      </c>
      <c r="C122" s="2">
        <v>1120</v>
      </c>
      <c r="D122" s="2" t="s">
        <v>11</v>
      </c>
      <c r="E122" s="2" t="s">
        <v>21</v>
      </c>
      <c r="F122" s="2">
        <v>50</v>
      </c>
      <c r="G122" s="2">
        <v>1</v>
      </c>
      <c r="H122" s="2">
        <v>50</v>
      </c>
      <c r="I122" s="2">
        <f>IF(H122=0,H122*0%,IF(H122=35,H122*2%,IF(H122=60,H122*5%,IF(H122=100,H122*6%,IF(H122=140,H122*8%,)))))</f>
        <v>0</v>
      </c>
      <c r="J122" s="2">
        <f>(H122-I122)*F122</f>
        <v>2500</v>
      </c>
    </row>
    <row r="123" spans="1:10" ht="16.5" x14ac:dyDescent="0.3">
      <c r="A123" s="4">
        <v>42822</v>
      </c>
      <c r="B123" s="2" t="s">
        <v>10</v>
      </c>
      <c r="C123" s="2">
        <v>1121</v>
      </c>
      <c r="D123" s="2" t="s">
        <v>11</v>
      </c>
      <c r="E123" s="2" t="s">
        <v>19</v>
      </c>
      <c r="F123" s="2">
        <v>70</v>
      </c>
      <c r="G123" s="2">
        <v>1</v>
      </c>
      <c r="H123" s="2">
        <v>90</v>
      </c>
      <c r="I123" s="2">
        <f>IF(H123=0,H123*0%,IF(H123=35,H123*2%,IF(H123=60,H123*5%,IF(H123=100,H123*6%,IF(H123=140,H123*8%,)))))</f>
        <v>0</v>
      </c>
      <c r="J123" s="2">
        <f>(H123-I123)*F123</f>
        <v>6300</v>
      </c>
    </row>
    <row r="124" spans="1:10" ht="16.5" x14ac:dyDescent="0.3">
      <c r="A124" s="4">
        <v>42893</v>
      </c>
      <c r="B124" s="2" t="s">
        <v>15</v>
      </c>
      <c r="C124" s="2">
        <v>1122</v>
      </c>
      <c r="D124" s="2" t="s">
        <v>27</v>
      </c>
      <c r="E124" s="2" t="s">
        <v>21</v>
      </c>
      <c r="F124" s="2">
        <v>30</v>
      </c>
      <c r="G124" s="2">
        <v>1</v>
      </c>
      <c r="H124" s="2">
        <v>80</v>
      </c>
      <c r="I124" s="2">
        <f>IF(H124=0,H124*0%,IF(H124=35,H124*2%,IF(H124=60,H124*5%,IF(H124=100,H124*6%,IF(H124=140,H124*8%,)))))</f>
        <v>0</v>
      </c>
      <c r="J124" s="2">
        <f>(H124-I124)*F124</f>
        <v>2400</v>
      </c>
    </row>
    <row r="125" spans="1:10" ht="16.5" x14ac:dyDescent="0.3">
      <c r="A125" s="4">
        <v>42814</v>
      </c>
      <c r="B125" s="2" t="s">
        <v>15</v>
      </c>
      <c r="C125" s="2">
        <v>1123</v>
      </c>
      <c r="D125" s="2" t="s">
        <v>16</v>
      </c>
      <c r="E125" s="2" t="s">
        <v>22</v>
      </c>
      <c r="F125" s="2">
        <v>30</v>
      </c>
      <c r="G125" s="2">
        <v>1</v>
      </c>
      <c r="H125" s="2">
        <v>115</v>
      </c>
      <c r="I125" s="2">
        <f>IF(H125=0,H125*0%,IF(H125=35,H125*2%,IF(H125=60,H125*5%,IF(H125=100,H125*6%,IF(H125=140,H125*8%,)))))</f>
        <v>0</v>
      </c>
      <c r="J125" s="2">
        <f>(H125-I125)*F125</f>
        <v>3450</v>
      </c>
    </row>
    <row r="126" spans="1:10" ht="16.5" x14ac:dyDescent="0.3">
      <c r="A126" s="4">
        <v>42760</v>
      </c>
      <c r="B126" s="2" t="s">
        <v>15</v>
      </c>
      <c r="C126" s="2">
        <v>1124</v>
      </c>
      <c r="D126" s="2" t="s">
        <v>27</v>
      </c>
      <c r="E126" s="2" t="s">
        <v>24</v>
      </c>
      <c r="F126" s="2">
        <v>30</v>
      </c>
      <c r="G126" s="2">
        <v>1</v>
      </c>
      <c r="H126" s="2">
        <v>120</v>
      </c>
      <c r="I126" s="2">
        <f>IF(H126=0,H126*0%,IF(H126=35,H126*2%,IF(H126=60,H126*5%,IF(H126=100,H126*6%,IF(H126=140,H126*8%,)))))</f>
        <v>0</v>
      </c>
      <c r="J126" s="2">
        <f>(H126-I126)*F126</f>
        <v>3600</v>
      </c>
    </row>
    <row r="127" spans="1:10" ht="16.5" x14ac:dyDescent="0.3">
      <c r="A127" s="4">
        <v>42772</v>
      </c>
      <c r="B127" s="2" t="s">
        <v>13</v>
      </c>
      <c r="C127" s="2">
        <v>1125</v>
      </c>
      <c r="D127" s="2" t="s">
        <v>23</v>
      </c>
      <c r="E127" s="2" t="s">
        <v>25</v>
      </c>
      <c r="F127" s="2">
        <v>50</v>
      </c>
      <c r="G127" s="2">
        <v>1</v>
      </c>
      <c r="H127" s="2">
        <v>45</v>
      </c>
      <c r="I127" s="2">
        <f>IF(H127=0,H127*0%,IF(H127=35,H127*2%,IF(H127=60,H127*5%,IF(H127=100,H127*6%,IF(H127=140,H127*8%,)))))</f>
        <v>0</v>
      </c>
      <c r="J127" s="2">
        <f>(H127-I127)*F127</f>
        <v>2250</v>
      </c>
    </row>
    <row r="128" spans="1:10" ht="16.5" x14ac:dyDescent="0.3">
      <c r="A128" s="4">
        <v>42793</v>
      </c>
      <c r="B128" s="2" t="s">
        <v>15</v>
      </c>
      <c r="C128" s="2">
        <v>1126</v>
      </c>
      <c r="D128" s="2" t="s">
        <v>23</v>
      </c>
      <c r="E128" s="2" t="s">
        <v>21</v>
      </c>
      <c r="F128" s="2">
        <v>30</v>
      </c>
      <c r="G128" s="2">
        <v>1</v>
      </c>
      <c r="H128" s="2">
        <v>130</v>
      </c>
      <c r="I128" s="2">
        <f>IF(H128=0,H128*0%,IF(H128=35,H128*2%,IF(H128=60,H128*5%,IF(H128=100,H128*6%,IF(H128=140,H128*8%,)))))</f>
        <v>0</v>
      </c>
      <c r="J128" s="2">
        <f>(H128-I128)*F128</f>
        <v>3900</v>
      </c>
    </row>
    <row r="129" spans="1:10" ht="16.5" x14ac:dyDescent="0.3">
      <c r="A129" s="4">
        <v>42761</v>
      </c>
      <c r="B129" s="2" t="s">
        <v>15</v>
      </c>
      <c r="C129" s="2">
        <v>1127</v>
      </c>
      <c r="D129" s="2" t="s">
        <v>18</v>
      </c>
      <c r="E129" s="2" t="s">
        <v>22</v>
      </c>
      <c r="F129" s="2">
        <v>30</v>
      </c>
      <c r="G129" s="2">
        <v>1</v>
      </c>
      <c r="H129" s="2">
        <v>80</v>
      </c>
      <c r="I129" s="2">
        <f>IF(H129=0,H129*0%,IF(H129=35,H129*2%,IF(H129=60,H129*5%,IF(H129=100,H129*6%,IF(H129=140,H129*8%,)))))</f>
        <v>0</v>
      </c>
      <c r="J129" s="2">
        <f>(H129-I129)*F129</f>
        <v>2400</v>
      </c>
    </row>
    <row r="130" spans="1:10" ht="16.5" x14ac:dyDescent="0.3">
      <c r="A130" s="4">
        <v>42778</v>
      </c>
      <c r="B130" s="2" t="s">
        <v>13</v>
      </c>
      <c r="C130" s="2">
        <v>1128</v>
      </c>
      <c r="D130" s="2" t="s">
        <v>11</v>
      </c>
      <c r="E130" s="2" t="s">
        <v>25</v>
      </c>
      <c r="F130" s="2">
        <v>50</v>
      </c>
      <c r="G130" s="2">
        <v>1</v>
      </c>
      <c r="H130" s="2">
        <v>160</v>
      </c>
      <c r="I130" s="2">
        <f>IF(H130=0,H130*0%,IF(H130=35,H130*2%,IF(H130=60,H130*5%,IF(H130=100,H130*6%,IF(H130=140,H130*8%,)))))</f>
        <v>0</v>
      </c>
      <c r="J130" s="2">
        <f>(H130-I130)*F130</f>
        <v>8000</v>
      </c>
    </row>
    <row r="131" spans="1:10" ht="16.5" x14ac:dyDescent="0.3">
      <c r="A131" s="4">
        <v>42797</v>
      </c>
      <c r="B131" s="2" t="s">
        <v>13</v>
      </c>
      <c r="C131" s="2">
        <v>1129</v>
      </c>
      <c r="D131" s="2" t="s">
        <v>16</v>
      </c>
      <c r="E131" s="2" t="s">
        <v>20</v>
      </c>
      <c r="F131" s="2">
        <v>50</v>
      </c>
      <c r="G131" s="2">
        <v>1</v>
      </c>
      <c r="H131" s="2">
        <v>80</v>
      </c>
      <c r="I131" s="2">
        <f>IF(H131=0,H131*0%,IF(H131=35,H131*2%,IF(H131=60,H131*5%,IF(H131=100,H131*6%,IF(H131=140,H131*8%,)))))</f>
        <v>0</v>
      </c>
      <c r="J131" s="2">
        <f>(H131-I131)*F131</f>
        <v>4000</v>
      </c>
    </row>
    <row r="132" spans="1:10" ht="16.5" x14ac:dyDescent="0.3">
      <c r="A132" s="4">
        <v>42874</v>
      </c>
      <c r="B132" s="2" t="s">
        <v>13</v>
      </c>
      <c r="C132" s="2">
        <v>1130</v>
      </c>
      <c r="D132" s="2" t="s">
        <v>16</v>
      </c>
      <c r="E132" s="2" t="s">
        <v>12</v>
      </c>
      <c r="F132" s="2">
        <v>50</v>
      </c>
      <c r="G132" s="2">
        <v>1</v>
      </c>
      <c r="H132" s="2">
        <v>50</v>
      </c>
      <c r="I132" s="2">
        <f>IF(H132=0,H132*0%,IF(H132=35,H132*2%,IF(H132=60,H132*5%,IF(H132=100,H132*6%,IF(H132=140,H132*8%,)))))</f>
        <v>0</v>
      </c>
      <c r="J132" s="2">
        <f>(H132-I132)*F132</f>
        <v>2500</v>
      </c>
    </row>
    <row r="133" spans="1:10" ht="16.5" x14ac:dyDescent="0.3">
      <c r="A133" s="4">
        <v>42879</v>
      </c>
      <c r="B133" s="2" t="s">
        <v>13</v>
      </c>
      <c r="C133" s="2">
        <v>1131</v>
      </c>
      <c r="D133" s="2" t="s">
        <v>27</v>
      </c>
      <c r="E133" s="2" t="s">
        <v>17</v>
      </c>
      <c r="F133" s="2">
        <v>50</v>
      </c>
      <c r="G133" s="2">
        <v>1</v>
      </c>
      <c r="H133" s="2">
        <v>40</v>
      </c>
      <c r="I133" s="2">
        <f>IF(H133=0,H133*0%,IF(H133=35,H133*2%,IF(H133=60,H133*5%,IF(H133=100,H133*6%,IF(H133=140,H133*8%,)))))</f>
        <v>0</v>
      </c>
      <c r="J133" s="2">
        <f>(H133-I133)*F133</f>
        <v>2000</v>
      </c>
    </row>
    <row r="134" spans="1:10" ht="16.5" x14ac:dyDescent="0.3">
      <c r="A134" s="4">
        <v>42766</v>
      </c>
      <c r="B134" s="2" t="s">
        <v>13</v>
      </c>
      <c r="C134" s="2">
        <v>1132</v>
      </c>
      <c r="D134" s="2" t="s">
        <v>27</v>
      </c>
      <c r="E134" s="2" t="s">
        <v>20</v>
      </c>
      <c r="F134" s="2">
        <v>50</v>
      </c>
      <c r="G134" s="2">
        <v>1</v>
      </c>
      <c r="H134" s="2">
        <v>75</v>
      </c>
      <c r="I134" s="2">
        <f>IF(H134=0,H134*0%,IF(H134=35,H134*2%,IF(H134=60,H134*5%,IF(H134=100,H134*6%,IF(H134=140,H134*8%,)))))</f>
        <v>0</v>
      </c>
      <c r="J134" s="2">
        <f>(H134-I134)*F134</f>
        <v>3750</v>
      </c>
    </row>
    <row r="135" spans="1:10" ht="16.5" x14ac:dyDescent="0.3">
      <c r="A135" s="4">
        <v>42828</v>
      </c>
      <c r="B135" s="2" t="s">
        <v>15</v>
      </c>
      <c r="C135" s="2">
        <v>1133</v>
      </c>
      <c r="D135" s="2" t="s">
        <v>14</v>
      </c>
      <c r="E135" s="2" t="s">
        <v>24</v>
      </c>
      <c r="F135" s="2">
        <v>30</v>
      </c>
      <c r="G135" s="2">
        <v>1</v>
      </c>
      <c r="H135" s="2">
        <v>110</v>
      </c>
      <c r="I135" s="2">
        <f>IF(H135=0,H135*0%,IF(H135=35,H135*2%,IF(H135=60,H135*5%,IF(H135=100,H135*6%,IF(H135=140,H135*8%,)))))</f>
        <v>0</v>
      </c>
      <c r="J135" s="2">
        <f>(H135-I135)*F135</f>
        <v>3300</v>
      </c>
    </row>
    <row r="136" spans="1:10" ht="16.5" x14ac:dyDescent="0.3">
      <c r="A136" s="4">
        <v>42747</v>
      </c>
      <c r="B136" s="2" t="s">
        <v>15</v>
      </c>
      <c r="C136" s="2">
        <v>1134</v>
      </c>
      <c r="D136" s="2" t="s">
        <v>27</v>
      </c>
      <c r="E136" s="2" t="s">
        <v>24</v>
      </c>
      <c r="F136" s="2">
        <v>30</v>
      </c>
      <c r="G136" s="2">
        <v>1</v>
      </c>
      <c r="H136" s="2">
        <v>80</v>
      </c>
      <c r="I136" s="2">
        <f>IF(H136=0,H136*0%,IF(H136=35,H136*2%,IF(H136=60,H136*5%,IF(H136=100,H136*6%,IF(H136=140,H136*8%,)))))</f>
        <v>0</v>
      </c>
      <c r="J136" s="2">
        <f>(H136-I136)*F136</f>
        <v>2400</v>
      </c>
    </row>
    <row r="137" spans="1:10" ht="16.5" x14ac:dyDescent="0.3">
      <c r="A137" s="4">
        <v>42833</v>
      </c>
      <c r="B137" s="2" t="s">
        <v>15</v>
      </c>
      <c r="C137" s="2">
        <v>1135</v>
      </c>
      <c r="D137" s="2" t="s">
        <v>14</v>
      </c>
      <c r="E137" s="2" t="s">
        <v>20</v>
      </c>
      <c r="F137" s="2">
        <v>30</v>
      </c>
      <c r="G137" s="2">
        <v>1</v>
      </c>
      <c r="H137" s="2">
        <v>40</v>
      </c>
      <c r="I137" s="2">
        <f>IF(H137=0,H137*0%,IF(H137=35,H137*2%,IF(H137=60,H137*5%,IF(H137=100,H137*6%,IF(H137=140,H137*8%,)))))</f>
        <v>0</v>
      </c>
      <c r="J137" s="2">
        <f>(H137-I137)*F137</f>
        <v>1200</v>
      </c>
    </row>
    <row r="138" spans="1:10" ht="16.5" x14ac:dyDescent="0.3">
      <c r="A138" s="4">
        <v>42913</v>
      </c>
      <c r="B138" s="2" t="s">
        <v>15</v>
      </c>
      <c r="C138" s="2">
        <v>1136</v>
      </c>
      <c r="D138" s="2" t="s">
        <v>27</v>
      </c>
      <c r="E138" s="2" t="s">
        <v>17</v>
      </c>
      <c r="F138" s="2">
        <v>30</v>
      </c>
      <c r="G138" s="2">
        <v>1</v>
      </c>
      <c r="H138" s="2">
        <v>45</v>
      </c>
      <c r="I138" s="2">
        <f>IF(H138=0,H138*0%,IF(H138=35,H138*2%,IF(H138=60,H138*5%,IF(H138=100,H138*6%,IF(H138=140,H138*8%,)))))</f>
        <v>0</v>
      </c>
      <c r="J138" s="2">
        <f>(H138-I138)*F138</f>
        <v>1350</v>
      </c>
    </row>
    <row r="139" spans="1:10" ht="16.5" x14ac:dyDescent="0.3">
      <c r="A139" s="4">
        <v>42834</v>
      </c>
      <c r="B139" s="2" t="s">
        <v>10</v>
      </c>
      <c r="C139" s="2">
        <v>1137</v>
      </c>
      <c r="D139" s="2" t="s">
        <v>14</v>
      </c>
      <c r="E139" s="2" t="s">
        <v>22</v>
      </c>
      <c r="F139" s="2">
        <v>70</v>
      </c>
      <c r="G139" s="2">
        <v>1</v>
      </c>
      <c r="H139" s="2">
        <v>120</v>
      </c>
      <c r="I139" s="2">
        <f>IF(H139=0,H139*0%,IF(H139=35,H139*2%,IF(H139=60,H139*5%,IF(H139=100,H139*6%,IF(H139=140,H139*8%,)))))</f>
        <v>0</v>
      </c>
      <c r="J139" s="2">
        <f>(H139-I139)*F139</f>
        <v>8400</v>
      </c>
    </row>
    <row r="140" spans="1:10" ht="16.5" x14ac:dyDescent="0.3">
      <c r="A140" s="4">
        <v>42907</v>
      </c>
      <c r="B140" s="2" t="s">
        <v>13</v>
      </c>
      <c r="C140" s="2">
        <v>1138</v>
      </c>
      <c r="D140" s="2" t="s">
        <v>27</v>
      </c>
      <c r="E140" s="2" t="s">
        <v>24</v>
      </c>
      <c r="F140" s="2">
        <v>50</v>
      </c>
      <c r="G140" s="2">
        <v>1</v>
      </c>
      <c r="H140" s="2">
        <v>115</v>
      </c>
      <c r="I140" s="2">
        <f>IF(H140=0,H140*0%,IF(H140=35,H140*2%,IF(H140=60,H140*5%,IF(H140=100,H140*6%,IF(H140=140,H140*8%,)))))</f>
        <v>0</v>
      </c>
      <c r="J140" s="2">
        <f>(H140-I140)*F140</f>
        <v>5750</v>
      </c>
    </row>
    <row r="141" spans="1:10" ht="16.5" x14ac:dyDescent="0.3">
      <c r="A141" s="4">
        <v>42800</v>
      </c>
      <c r="B141" s="2" t="s">
        <v>15</v>
      </c>
      <c r="C141" s="2">
        <v>1139</v>
      </c>
      <c r="D141" s="2" t="s">
        <v>27</v>
      </c>
      <c r="E141" s="2" t="s">
        <v>25</v>
      </c>
      <c r="F141" s="2">
        <v>30</v>
      </c>
      <c r="G141" s="2">
        <v>1</v>
      </c>
      <c r="H141" s="2">
        <v>80</v>
      </c>
      <c r="I141" s="2">
        <f>IF(H141=0,H141*0%,IF(H141=35,H141*2%,IF(H141=60,H141*5%,IF(H141=100,H141*6%,IF(H141=140,H141*8%,)))))</f>
        <v>0</v>
      </c>
      <c r="J141" s="2">
        <f>(H141-I141)*F141</f>
        <v>2400</v>
      </c>
    </row>
    <row r="142" spans="1:10" ht="16.5" x14ac:dyDescent="0.3">
      <c r="A142" s="4">
        <v>42816</v>
      </c>
      <c r="B142" s="2" t="s">
        <v>10</v>
      </c>
      <c r="C142" s="2">
        <v>1140</v>
      </c>
      <c r="D142" s="2" t="s">
        <v>18</v>
      </c>
      <c r="E142" s="2" t="s">
        <v>26</v>
      </c>
      <c r="F142" s="2">
        <v>70</v>
      </c>
      <c r="G142" s="2">
        <v>1</v>
      </c>
      <c r="H142" s="2">
        <v>160</v>
      </c>
      <c r="I142" s="2">
        <f>IF(H142=0,H142*0%,IF(H142=35,H142*2%,IF(H142=60,H142*5%,IF(H142=100,H142*6%,IF(H142=140,H142*8%,)))))</f>
        <v>0</v>
      </c>
      <c r="J142" s="2">
        <f>(H142-I142)*F142</f>
        <v>11200</v>
      </c>
    </row>
    <row r="143" spans="1:10" ht="16.5" x14ac:dyDescent="0.3">
      <c r="A143" s="4">
        <v>42785</v>
      </c>
      <c r="B143" s="2" t="s">
        <v>10</v>
      </c>
      <c r="C143" s="2">
        <v>1141</v>
      </c>
      <c r="D143" s="2" t="s">
        <v>14</v>
      </c>
      <c r="E143" s="2" t="s">
        <v>19</v>
      </c>
      <c r="F143" s="2">
        <v>70</v>
      </c>
      <c r="G143" s="2">
        <v>1</v>
      </c>
      <c r="H143" s="2">
        <v>45</v>
      </c>
      <c r="I143" s="2">
        <f>IF(H143=0,H143*0%,IF(H143=35,H143*2%,IF(H143=60,H143*5%,IF(H143=100,H143*6%,IF(H143=140,H143*8%,)))))</f>
        <v>0</v>
      </c>
      <c r="J143" s="2">
        <f>(H143-I143)*F143</f>
        <v>3150</v>
      </c>
    </row>
    <row r="144" spans="1:10" ht="16.5" x14ac:dyDescent="0.3">
      <c r="A144" s="4">
        <v>42789</v>
      </c>
      <c r="B144" s="2" t="s">
        <v>10</v>
      </c>
      <c r="C144" s="2">
        <v>1142</v>
      </c>
      <c r="D144" s="2" t="s">
        <v>14</v>
      </c>
      <c r="E144" s="2" t="s">
        <v>19</v>
      </c>
      <c r="F144" s="2">
        <v>70</v>
      </c>
      <c r="G144" s="2">
        <v>1</v>
      </c>
      <c r="H144" s="2">
        <v>80</v>
      </c>
      <c r="I144" s="2">
        <f>IF(H144=0,H144*0%,IF(H144=35,H144*2%,IF(H144=60,H144*5%,IF(H144=100,H144*6%,IF(H144=140,H144*8%,)))))</f>
        <v>0</v>
      </c>
      <c r="J144" s="2">
        <f>(H144-I144)*F144</f>
        <v>5600</v>
      </c>
    </row>
    <row r="145" spans="1:10" ht="16.5" x14ac:dyDescent="0.3">
      <c r="A145" s="4">
        <v>42750</v>
      </c>
      <c r="B145" s="2" t="s">
        <v>15</v>
      </c>
      <c r="C145" s="2">
        <v>1143</v>
      </c>
      <c r="D145" s="2" t="s">
        <v>23</v>
      </c>
      <c r="E145" s="2" t="s">
        <v>25</v>
      </c>
      <c r="F145" s="2">
        <v>30</v>
      </c>
      <c r="G145" s="2">
        <v>1</v>
      </c>
      <c r="H145" s="2">
        <v>80</v>
      </c>
      <c r="I145" s="2">
        <f>IF(H145=0,H145*0%,IF(H145=35,H145*2%,IF(H145=60,H145*5%,IF(H145=100,H145*6%,IF(H145=140,H145*8%,)))))</f>
        <v>0</v>
      </c>
      <c r="J145" s="2">
        <f>(H145-I145)*F145</f>
        <v>2400</v>
      </c>
    </row>
    <row r="146" spans="1:10" ht="16.5" x14ac:dyDescent="0.3">
      <c r="A146" s="4">
        <v>42818</v>
      </c>
      <c r="B146" s="2" t="s">
        <v>13</v>
      </c>
      <c r="C146" s="2">
        <v>1144</v>
      </c>
      <c r="D146" s="2" t="s">
        <v>23</v>
      </c>
      <c r="E146" s="2" t="s">
        <v>20</v>
      </c>
      <c r="F146" s="2">
        <v>50</v>
      </c>
      <c r="G146" s="2">
        <v>1</v>
      </c>
      <c r="H146" s="2">
        <v>50</v>
      </c>
      <c r="I146" s="2">
        <f>IF(H146=0,H146*0%,IF(H146=35,H146*2%,IF(H146=60,H146*5%,IF(H146=100,H146*6%,IF(H146=140,H146*8%,)))))</f>
        <v>0</v>
      </c>
      <c r="J146" s="2">
        <f>(H146-I146)*F146</f>
        <v>2500</v>
      </c>
    </row>
    <row r="147" spans="1:10" ht="16.5" x14ac:dyDescent="0.3">
      <c r="A147" s="4">
        <v>42806</v>
      </c>
      <c r="B147" s="2" t="s">
        <v>10</v>
      </c>
      <c r="C147" s="2">
        <v>1145</v>
      </c>
      <c r="D147" s="2" t="s">
        <v>14</v>
      </c>
      <c r="E147" s="2" t="s">
        <v>12</v>
      </c>
      <c r="F147" s="2">
        <v>70</v>
      </c>
      <c r="G147" s="2">
        <v>1</v>
      </c>
      <c r="H147" s="2">
        <v>130</v>
      </c>
      <c r="I147" s="2">
        <f>IF(H147=0,H147*0%,IF(H147=35,H147*2%,IF(H147=60,H147*5%,IF(H147=100,H147*6%,IF(H147=140,H147*8%,)))))</f>
        <v>0</v>
      </c>
      <c r="J147" s="2">
        <f>(H147-I147)*F147</f>
        <v>9100</v>
      </c>
    </row>
    <row r="148" spans="1:10" ht="16.5" x14ac:dyDescent="0.3">
      <c r="A148" s="4">
        <v>42806</v>
      </c>
      <c r="B148" s="2" t="s">
        <v>10</v>
      </c>
      <c r="C148" s="2">
        <v>1146</v>
      </c>
      <c r="D148" s="2" t="s">
        <v>14</v>
      </c>
      <c r="E148" s="2" t="s">
        <v>25</v>
      </c>
      <c r="F148" s="2">
        <v>70</v>
      </c>
      <c r="G148" s="2">
        <v>1</v>
      </c>
      <c r="H148" s="2">
        <v>45</v>
      </c>
      <c r="I148" s="2">
        <f>IF(H148=0,H148*0%,IF(H148=35,H148*2%,IF(H148=60,H148*5%,IF(H148=100,H148*6%,IF(H148=140,H148*8%,)))))</f>
        <v>0</v>
      </c>
      <c r="J148" s="2">
        <f>(H148-I148)*F148</f>
        <v>3150</v>
      </c>
    </row>
    <row r="149" spans="1:10" ht="16.5" x14ac:dyDescent="0.3">
      <c r="A149" s="4">
        <v>42767</v>
      </c>
      <c r="B149" s="2" t="s">
        <v>10</v>
      </c>
      <c r="C149" s="2">
        <v>1147</v>
      </c>
      <c r="D149" s="2" t="s">
        <v>27</v>
      </c>
      <c r="E149" s="2" t="s">
        <v>25</v>
      </c>
      <c r="F149" s="2">
        <v>70</v>
      </c>
      <c r="G149" s="2">
        <v>1</v>
      </c>
      <c r="H149" s="2">
        <v>90</v>
      </c>
      <c r="I149" s="2">
        <f>IF(H149=0,H149*0%,IF(H149=35,H149*2%,IF(H149=60,H149*5%,IF(H149=100,H149*6%,IF(H149=140,H149*8%,)))))</f>
        <v>0</v>
      </c>
      <c r="J149" s="2">
        <f>(H149-I149)*F149</f>
        <v>6300</v>
      </c>
    </row>
    <row r="150" spans="1:10" ht="16.5" x14ac:dyDescent="0.3">
      <c r="A150" s="4">
        <v>42782</v>
      </c>
      <c r="B150" s="2" t="s">
        <v>13</v>
      </c>
      <c r="C150" s="2">
        <v>1148</v>
      </c>
      <c r="D150" s="2" t="s">
        <v>23</v>
      </c>
      <c r="E150" s="2" t="s">
        <v>17</v>
      </c>
      <c r="F150" s="2">
        <v>50</v>
      </c>
      <c r="G150" s="2">
        <v>1</v>
      </c>
      <c r="H150" s="2">
        <v>160</v>
      </c>
      <c r="I150" s="2">
        <f>IF(H150=0,H150*0%,IF(H150=35,H150*2%,IF(H150=60,H150*5%,IF(H150=100,H150*6%,IF(H150=140,H150*8%,)))))</f>
        <v>0</v>
      </c>
      <c r="J150" s="2">
        <f>(H150-I150)*F150</f>
        <v>8000</v>
      </c>
    </row>
    <row r="151" spans="1:10" ht="16.5" x14ac:dyDescent="0.3">
      <c r="A151" s="4">
        <v>42834</v>
      </c>
      <c r="B151" s="2" t="s">
        <v>15</v>
      </c>
      <c r="C151" s="2">
        <v>1149</v>
      </c>
      <c r="D151" s="2" t="s">
        <v>23</v>
      </c>
      <c r="E151" s="2" t="s">
        <v>20</v>
      </c>
      <c r="F151" s="2">
        <v>30</v>
      </c>
      <c r="G151" s="2">
        <v>1</v>
      </c>
      <c r="H151" s="2">
        <v>100</v>
      </c>
      <c r="I151" s="2">
        <f>IF(H151=0,H151*0%,IF(H151=35,H151*2%,IF(H151=60,H151*5%,IF(H151=100,H151*6%,IF(H151=140,H151*8%,)))))</f>
        <v>6</v>
      </c>
      <c r="J151" s="2">
        <f>(H151-I151)*F151</f>
        <v>2820</v>
      </c>
    </row>
    <row r="152" spans="1:10" ht="16.5" x14ac:dyDescent="0.3">
      <c r="A152" s="4">
        <v>42907</v>
      </c>
      <c r="B152" s="2" t="s">
        <v>13</v>
      </c>
      <c r="C152" s="2">
        <v>1150</v>
      </c>
      <c r="D152" s="2" t="s">
        <v>11</v>
      </c>
      <c r="E152" s="2" t="s">
        <v>28</v>
      </c>
      <c r="F152" s="2">
        <v>50</v>
      </c>
      <c r="G152" s="2">
        <v>1</v>
      </c>
      <c r="H152" s="2">
        <v>130</v>
      </c>
      <c r="I152" s="2">
        <f>IF(H152=0,H152*0%,IF(H152=35,H152*2%,IF(H152=60,H152*5%,IF(H152=100,H152*6%,IF(H152=140,H152*8%,)))))</f>
        <v>0</v>
      </c>
      <c r="J152" s="2">
        <f>(H152-I152)*F152</f>
        <v>6500</v>
      </c>
    </row>
    <row r="153" spans="1:10" ht="16.5" x14ac:dyDescent="0.3">
      <c r="A153" s="4">
        <v>42747</v>
      </c>
      <c r="B153" s="2" t="s">
        <v>10</v>
      </c>
      <c r="C153" s="2">
        <v>1151</v>
      </c>
      <c r="D153" s="2" t="s">
        <v>23</v>
      </c>
      <c r="E153" s="2" t="s">
        <v>22</v>
      </c>
      <c r="F153" s="2">
        <v>70</v>
      </c>
      <c r="G153" s="2">
        <v>1</v>
      </c>
      <c r="H153" s="2">
        <v>80</v>
      </c>
      <c r="I153" s="2">
        <f>IF(H153=0,H153*0%,IF(H153=35,H153*2%,IF(H153=60,H153*5%,IF(H153=100,H153*6%,IF(H153=140,H153*8%,)))))</f>
        <v>0</v>
      </c>
      <c r="J153" s="2">
        <f>(H153-I153)*F153</f>
        <v>5600</v>
      </c>
    </row>
    <row r="154" spans="1:10" ht="16.5" x14ac:dyDescent="0.3">
      <c r="A154" s="4">
        <v>42848</v>
      </c>
      <c r="B154" s="2" t="s">
        <v>15</v>
      </c>
      <c r="C154" s="2">
        <v>1152</v>
      </c>
      <c r="D154" s="2" t="s">
        <v>16</v>
      </c>
      <c r="E154" s="2" t="s">
        <v>12</v>
      </c>
      <c r="F154" s="2">
        <v>30</v>
      </c>
      <c r="G154" s="2">
        <v>1</v>
      </c>
      <c r="H154" s="2">
        <v>80</v>
      </c>
      <c r="I154" s="2">
        <f>IF(H154=0,H154*0%,IF(H154=35,H154*2%,IF(H154=60,H154*5%,IF(H154=100,H154*6%,IF(H154=140,H154*8%,)))))</f>
        <v>0</v>
      </c>
      <c r="J154" s="2">
        <f>(H154-I154)*F154</f>
        <v>2400</v>
      </c>
    </row>
    <row r="155" spans="1:10" ht="16.5" x14ac:dyDescent="0.3">
      <c r="A155" s="4">
        <v>42894</v>
      </c>
      <c r="B155" s="2" t="s">
        <v>15</v>
      </c>
      <c r="C155" s="2">
        <v>1153</v>
      </c>
      <c r="D155" s="2" t="s">
        <v>14</v>
      </c>
      <c r="E155" s="2" t="s">
        <v>24</v>
      </c>
      <c r="F155" s="2">
        <v>30</v>
      </c>
      <c r="G155" s="2">
        <v>1</v>
      </c>
      <c r="H155" s="2">
        <v>130</v>
      </c>
      <c r="I155" s="2">
        <f>IF(H155=0,H155*0%,IF(H155=35,H155*2%,IF(H155=60,H155*5%,IF(H155=100,H155*6%,IF(H155=140,H155*8%,)))))</f>
        <v>0</v>
      </c>
      <c r="J155" s="2">
        <f>(H155-I155)*F155</f>
        <v>3900</v>
      </c>
    </row>
    <row r="156" spans="1:10" ht="16.5" x14ac:dyDescent="0.3">
      <c r="A156" s="4">
        <v>42916</v>
      </c>
      <c r="B156" s="2" t="s">
        <v>15</v>
      </c>
      <c r="C156" s="2">
        <v>1154</v>
      </c>
      <c r="D156" s="2" t="s">
        <v>11</v>
      </c>
      <c r="E156" s="2" t="s">
        <v>22</v>
      </c>
      <c r="F156" s="2">
        <v>30</v>
      </c>
      <c r="G156" s="2">
        <v>1</v>
      </c>
      <c r="H156" s="2">
        <v>90</v>
      </c>
      <c r="I156" s="2">
        <f>IF(H156=0,H156*0%,IF(H156=35,H156*2%,IF(H156=60,H156*5%,IF(H156=100,H156*6%,IF(H156=140,H156*8%,)))))</f>
        <v>0</v>
      </c>
      <c r="J156" s="2">
        <f>(H156-I156)*F156</f>
        <v>2700</v>
      </c>
    </row>
    <row r="157" spans="1:10" ht="16.5" x14ac:dyDescent="0.3">
      <c r="A157" s="4">
        <v>42815</v>
      </c>
      <c r="B157" s="2" t="s">
        <v>15</v>
      </c>
      <c r="C157" s="2">
        <v>1155</v>
      </c>
      <c r="D157" s="2" t="s">
        <v>11</v>
      </c>
      <c r="E157" s="2" t="s">
        <v>24</v>
      </c>
      <c r="F157" s="2">
        <v>30</v>
      </c>
      <c r="G157" s="2">
        <v>1</v>
      </c>
      <c r="H157" s="2">
        <v>45</v>
      </c>
      <c r="I157" s="2">
        <f>IF(H157=0,H157*0%,IF(H157=35,H157*2%,IF(H157=60,H157*5%,IF(H157=100,H157*6%,IF(H157=140,H157*8%,)))))</f>
        <v>0</v>
      </c>
      <c r="J157" s="2">
        <f>(H157-I157)*F157</f>
        <v>1350</v>
      </c>
    </row>
    <row r="158" spans="1:10" ht="16.5" x14ac:dyDescent="0.3">
      <c r="A158" s="4">
        <v>42905</v>
      </c>
      <c r="B158" s="2" t="s">
        <v>13</v>
      </c>
      <c r="C158" s="2">
        <v>1156</v>
      </c>
      <c r="D158" s="2" t="s">
        <v>16</v>
      </c>
      <c r="E158" s="2" t="s">
        <v>25</v>
      </c>
      <c r="F158" s="2">
        <v>50</v>
      </c>
      <c r="G158" s="2">
        <v>1</v>
      </c>
      <c r="H158" s="2">
        <v>160</v>
      </c>
      <c r="I158" s="2">
        <f>IF(H158=0,H158*0%,IF(H158=35,H158*2%,IF(H158=60,H158*5%,IF(H158=100,H158*6%,IF(H158=140,H158*8%,)))))</f>
        <v>0</v>
      </c>
      <c r="J158" s="2">
        <f>(H158-I158)*F158</f>
        <v>8000</v>
      </c>
    </row>
    <row r="159" spans="1:10" ht="16.5" x14ac:dyDescent="0.3">
      <c r="A159" s="4">
        <v>42814</v>
      </c>
      <c r="B159" s="2" t="s">
        <v>15</v>
      </c>
      <c r="C159" s="2">
        <v>1157</v>
      </c>
      <c r="D159" s="2" t="s">
        <v>27</v>
      </c>
      <c r="E159" s="2" t="s">
        <v>28</v>
      </c>
      <c r="F159" s="2">
        <v>30</v>
      </c>
      <c r="G159" s="2">
        <v>1</v>
      </c>
      <c r="H159" s="2">
        <v>60</v>
      </c>
      <c r="I159" s="2">
        <f>IF(H159=0,H159*0%,IF(H159=35,H159*2%,IF(H159=60,H159*5%,IF(H159=100,H159*6%,IF(H159=140,H159*8%,)))))</f>
        <v>3</v>
      </c>
      <c r="J159" s="2">
        <f>(H159-I159)*F159</f>
        <v>1710</v>
      </c>
    </row>
    <row r="160" spans="1:10" ht="16.5" x14ac:dyDescent="0.3">
      <c r="A160" s="4">
        <v>42830</v>
      </c>
      <c r="B160" s="2" t="s">
        <v>13</v>
      </c>
      <c r="C160" s="2">
        <v>1158</v>
      </c>
      <c r="D160" s="2" t="s">
        <v>18</v>
      </c>
      <c r="E160" s="2" t="s">
        <v>21</v>
      </c>
      <c r="F160" s="2">
        <v>50</v>
      </c>
      <c r="G160" s="2">
        <v>1</v>
      </c>
      <c r="H160" s="2">
        <v>60</v>
      </c>
      <c r="I160" s="2">
        <f>IF(H160=0,H160*0%,IF(H160=35,H160*2%,IF(H160=60,H160*5%,IF(H160=100,H160*6%,IF(H160=140,H160*8%,)))))</f>
        <v>3</v>
      </c>
      <c r="J160" s="2">
        <f>(H160-I160)*F160</f>
        <v>2850</v>
      </c>
    </row>
    <row r="161" spans="1:10" ht="16.5" x14ac:dyDescent="0.3">
      <c r="A161" s="4">
        <v>42814</v>
      </c>
      <c r="B161" s="2" t="s">
        <v>13</v>
      </c>
      <c r="C161" s="2">
        <v>1159</v>
      </c>
      <c r="D161" s="2" t="s">
        <v>16</v>
      </c>
      <c r="E161" s="2" t="s">
        <v>28</v>
      </c>
      <c r="F161" s="2">
        <v>50</v>
      </c>
      <c r="G161" s="2">
        <v>1</v>
      </c>
      <c r="H161" s="2">
        <v>80</v>
      </c>
      <c r="I161" s="2">
        <f>IF(H161=0,H161*0%,IF(H161=35,H161*2%,IF(H161=60,H161*5%,IF(H161=100,H161*6%,IF(H161=140,H161*8%,)))))</f>
        <v>0</v>
      </c>
      <c r="J161" s="2">
        <f>(H161-I161)*F161</f>
        <v>4000</v>
      </c>
    </row>
    <row r="162" spans="1:10" ht="16.5" x14ac:dyDescent="0.3">
      <c r="A162" s="4">
        <v>42855</v>
      </c>
      <c r="B162" s="2" t="s">
        <v>13</v>
      </c>
      <c r="C162" s="2">
        <v>1160</v>
      </c>
      <c r="D162" s="2" t="s">
        <v>18</v>
      </c>
      <c r="E162" s="2" t="s">
        <v>26</v>
      </c>
      <c r="F162" s="2">
        <v>50</v>
      </c>
      <c r="G162" s="2">
        <v>1</v>
      </c>
      <c r="H162" s="2">
        <v>120</v>
      </c>
      <c r="I162" s="2">
        <f>IF(H162=0,H162*0%,IF(H162=35,H162*2%,IF(H162=60,H162*5%,IF(H162=100,H162*6%,IF(H162=140,H162*8%,)))))</f>
        <v>0</v>
      </c>
      <c r="J162" s="2">
        <f>(H162-I162)*F162</f>
        <v>6000</v>
      </c>
    </row>
    <row r="163" spans="1:10" ht="16.5" x14ac:dyDescent="0.3">
      <c r="A163" s="4">
        <v>42906</v>
      </c>
      <c r="B163" s="2" t="s">
        <v>15</v>
      </c>
      <c r="C163" s="2">
        <v>1161</v>
      </c>
      <c r="D163" s="2" t="s">
        <v>18</v>
      </c>
      <c r="E163" s="2" t="s">
        <v>12</v>
      </c>
      <c r="F163" s="2">
        <v>30</v>
      </c>
      <c r="G163" s="2">
        <v>1</v>
      </c>
      <c r="H163" s="2">
        <v>40</v>
      </c>
      <c r="I163" s="2">
        <f>IF(H163=0,H163*0%,IF(H163=35,H163*2%,IF(H163=60,H163*5%,IF(H163=100,H163*6%,IF(H163=140,H163*8%,)))))</f>
        <v>0</v>
      </c>
      <c r="J163" s="2">
        <f>(H163-I163)*F163</f>
        <v>1200</v>
      </c>
    </row>
    <row r="164" spans="1:10" ht="16.5" x14ac:dyDescent="0.3">
      <c r="A164" s="4">
        <v>42891</v>
      </c>
      <c r="B164" s="2" t="s">
        <v>13</v>
      </c>
      <c r="C164" s="2">
        <v>1162</v>
      </c>
      <c r="D164" s="2" t="s">
        <v>14</v>
      </c>
      <c r="E164" s="2" t="s">
        <v>19</v>
      </c>
      <c r="F164" s="2">
        <v>50</v>
      </c>
      <c r="G164" s="2">
        <v>1</v>
      </c>
      <c r="H164" s="2">
        <v>50</v>
      </c>
      <c r="I164" s="2">
        <f>IF(H164=0,H164*0%,IF(H164=35,H164*2%,IF(H164=60,H164*5%,IF(H164=100,H164*6%,IF(H164=140,H164*8%,)))))</f>
        <v>0</v>
      </c>
      <c r="J164" s="2">
        <f>(H164-I164)*F164</f>
        <v>2500</v>
      </c>
    </row>
    <row r="165" spans="1:10" ht="16.5" x14ac:dyDescent="0.3">
      <c r="A165" s="4">
        <v>42861</v>
      </c>
      <c r="B165" s="2" t="s">
        <v>15</v>
      </c>
      <c r="C165" s="2">
        <v>1163</v>
      </c>
      <c r="D165" s="2" t="s">
        <v>14</v>
      </c>
      <c r="E165" s="2" t="s">
        <v>25</v>
      </c>
      <c r="F165" s="2">
        <v>30</v>
      </c>
      <c r="G165" s="2">
        <v>1</v>
      </c>
      <c r="H165" s="2">
        <v>32</v>
      </c>
      <c r="I165" s="2">
        <f>IF(H165=0,H165*0%,IF(H165=35,H165*2%,IF(H165=60,H165*5%,IF(H165=100,H165*6%,IF(H165=140,H165*8%,)))))</f>
        <v>0</v>
      </c>
      <c r="J165" s="2">
        <f>(H165-I165)*F165</f>
        <v>960</v>
      </c>
    </row>
    <row r="166" spans="1:10" ht="16.5" x14ac:dyDescent="0.3">
      <c r="A166" s="4">
        <v>42897</v>
      </c>
      <c r="B166" s="2" t="s">
        <v>15</v>
      </c>
      <c r="C166" s="2">
        <v>1164</v>
      </c>
      <c r="D166" s="2" t="s">
        <v>18</v>
      </c>
      <c r="E166" s="2" t="s">
        <v>24</v>
      </c>
      <c r="F166" s="2">
        <v>30</v>
      </c>
      <c r="G166" s="2">
        <v>1</v>
      </c>
      <c r="H166" s="2">
        <v>75</v>
      </c>
      <c r="I166" s="2">
        <f>IF(H166=0,H166*0%,IF(H166=35,H166*2%,IF(H166=60,H166*5%,IF(H166=100,H166*6%,IF(H166=140,H166*8%,)))))</f>
        <v>0</v>
      </c>
      <c r="J166" s="2">
        <f>(H166-I166)*F166</f>
        <v>2250</v>
      </c>
    </row>
    <row r="167" spans="1:10" ht="16.5" x14ac:dyDescent="0.3">
      <c r="A167" s="4">
        <v>42779</v>
      </c>
      <c r="B167" s="2" t="s">
        <v>15</v>
      </c>
      <c r="C167" s="2">
        <v>1165</v>
      </c>
      <c r="D167" s="2" t="s">
        <v>11</v>
      </c>
      <c r="E167" s="2" t="s">
        <v>22</v>
      </c>
      <c r="F167" s="2">
        <v>30</v>
      </c>
      <c r="G167" s="2">
        <v>1</v>
      </c>
      <c r="H167" s="2">
        <v>105</v>
      </c>
      <c r="I167" s="2">
        <f>IF(H167=0,H167*0%,IF(H167=35,H167*2%,IF(H167=60,H167*5%,IF(H167=100,H167*6%,IF(H167=140,H167*8%,)))))</f>
        <v>0</v>
      </c>
      <c r="J167" s="2">
        <f>(H167-I167)*F167</f>
        <v>3150</v>
      </c>
    </row>
    <row r="168" spans="1:10" ht="16.5" x14ac:dyDescent="0.3">
      <c r="A168" s="4">
        <v>42745</v>
      </c>
      <c r="B168" s="2" t="s">
        <v>13</v>
      </c>
      <c r="C168" s="2">
        <v>1166</v>
      </c>
      <c r="D168" s="2" t="s">
        <v>14</v>
      </c>
      <c r="E168" s="2" t="s">
        <v>17</v>
      </c>
      <c r="F168" s="2">
        <v>50</v>
      </c>
      <c r="G168" s="2">
        <v>1</v>
      </c>
      <c r="H168" s="2">
        <v>80</v>
      </c>
      <c r="I168" s="2">
        <f>IF(H168=0,H168*0%,IF(H168=35,H168*2%,IF(H168=60,H168*5%,IF(H168=100,H168*6%,IF(H168=140,H168*8%,)))))</f>
        <v>0</v>
      </c>
      <c r="J168" s="2">
        <f>(H168-I168)*F168</f>
        <v>4000</v>
      </c>
    </row>
    <row r="169" spans="1:10" ht="16.5" x14ac:dyDescent="0.3">
      <c r="A169" s="4">
        <v>42824</v>
      </c>
      <c r="B169" s="2" t="s">
        <v>10</v>
      </c>
      <c r="C169" s="2">
        <v>1167</v>
      </c>
      <c r="D169" s="2" t="s">
        <v>14</v>
      </c>
      <c r="E169" s="2" t="s">
        <v>12</v>
      </c>
      <c r="F169" s="2">
        <v>70</v>
      </c>
      <c r="G169" s="2">
        <v>1</v>
      </c>
      <c r="H169" s="2">
        <v>45</v>
      </c>
      <c r="I169" s="2">
        <f>IF(H169=0,H169*0%,IF(H169=35,H169*2%,IF(H169=60,H169*5%,IF(H169=100,H169*6%,IF(H169=140,H169*8%,)))))</f>
        <v>0</v>
      </c>
      <c r="J169" s="2">
        <f>(H169-I169)*F169</f>
        <v>3150</v>
      </c>
    </row>
    <row r="170" spans="1:10" ht="16.5" x14ac:dyDescent="0.3">
      <c r="A170" s="4">
        <v>42814</v>
      </c>
      <c r="B170" s="2" t="s">
        <v>13</v>
      </c>
      <c r="C170" s="2">
        <v>1168</v>
      </c>
      <c r="D170" s="2" t="s">
        <v>18</v>
      </c>
      <c r="E170" s="2" t="s">
        <v>17</v>
      </c>
      <c r="F170" s="2">
        <v>50</v>
      </c>
      <c r="G170" s="2">
        <v>1</v>
      </c>
      <c r="H170" s="2">
        <v>130</v>
      </c>
      <c r="I170" s="2">
        <f>IF(H170=0,H170*0%,IF(H170=35,H170*2%,IF(H170=60,H170*5%,IF(H170=100,H170*6%,IF(H170=140,H170*8%,)))))</f>
        <v>0</v>
      </c>
      <c r="J170" s="2">
        <f>(H170-I170)*F170</f>
        <v>6500</v>
      </c>
    </row>
    <row r="171" spans="1:10" ht="16.5" x14ac:dyDescent="0.3">
      <c r="A171" s="4">
        <v>42853</v>
      </c>
      <c r="B171" s="2" t="s">
        <v>10</v>
      </c>
      <c r="C171" s="2">
        <v>1169</v>
      </c>
      <c r="D171" s="2" t="s">
        <v>23</v>
      </c>
      <c r="E171" s="2" t="s">
        <v>20</v>
      </c>
      <c r="F171" s="2">
        <v>70</v>
      </c>
      <c r="G171" s="2">
        <v>3</v>
      </c>
      <c r="H171" s="2">
        <v>90</v>
      </c>
      <c r="I171" s="2">
        <f>IF(H171=0,H171*0%,IF(H171=35,H171*2%,IF(H171=60,H171*5%,IF(H171=100,H171*6%,IF(H171=140,H171*8%,)))))</f>
        <v>0</v>
      </c>
      <c r="J171" s="2">
        <f>(H171-I171)*F171</f>
        <v>6300</v>
      </c>
    </row>
    <row r="172" spans="1:10" ht="16.5" x14ac:dyDescent="0.3">
      <c r="A172" s="4">
        <v>42766</v>
      </c>
      <c r="B172" s="2" t="s">
        <v>10</v>
      </c>
      <c r="C172" s="2">
        <v>1170</v>
      </c>
      <c r="D172" s="2" t="s">
        <v>27</v>
      </c>
      <c r="E172" s="2" t="s">
        <v>28</v>
      </c>
      <c r="F172" s="2">
        <v>70</v>
      </c>
      <c r="G172" s="2">
        <v>1</v>
      </c>
      <c r="H172" s="2">
        <v>35</v>
      </c>
      <c r="I172" s="2">
        <f>IF(H172=0,H172*0%,IF(H172=35,H172*2%,IF(H172=60,H172*5%,IF(H172=100,H172*6%,IF(H172=140,H172*8%,)))))</f>
        <v>0.70000000000000007</v>
      </c>
      <c r="J172" s="2">
        <f>(H172-I172)*F172</f>
        <v>2401</v>
      </c>
    </row>
    <row r="173" spans="1:10" ht="16.5" x14ac:dyDescent="0.3">
      <c r="A173" s="4">
        <v>42904</v>
      </c>
      <c r="B173" s="2" t="s">
        <v>15</v>
      </c>
      <c r="C173" s="2">
        <v>1171</v>
      </c>
      <c r="D173" s="2" t="s">
        <v>27</v>
      </c>
      <c r="E173" s="2" t="s">
        <v>21</v>
      </c>
      <c r="F173" s="2">
        <v>30</v>
      </c>
      <c r="G173" s="2">
        <v>1</v>
      </c>
      <c r="H173" s="2">
        <v>75</v>
      </c>
      <c r="I173" s="2">
        <f>IF(H173=0,H173*0%,IF(H173=35,H173*2%,IF(H173=60,H173*5%,IF(H173=100,H173*6%,IF(H173=140,H173*8%,)))))</f>
        <v>0</v>
      </c>
      <c r="J173" s="2">
        <f>(H173-I173)*F173</f>
        <v>2250</v>
      </c>
    </row>
    <row r="174" spans="1:10" ht="16.5" x14ac:dyDescent="0.3">
      <c r="A174" s="4">
        <v>42791</v>
      </c>
      <c r="B174" s="2" t="s">
        <v>10</v>
      </c>
      <c r="C174" s="2">
        <v>1172</v>
      </c>
      <c r="D174" s="2" t="s">
        <v>14</v>
      </c>
      <c r="E174" s="2" t="s">
        <v>21</v>
      </c>
      <c r="F174" s="2">
        <v>70</v>
      </c>
      <c r="G174" s="2">
        <v>2</v>
      </c>
      <c r="H174" s="2">
        <v>80</v>
      </c>
      <c r="I174" s="2">
        <f>IF(H174=0,H174*0%,IF(H174=35,H174*2%,IF(H174=60,H174*5%,IF(H174=100,H174*6%,IF(H174=140,H174*8%,)))))</f>
        <v>0</v>
      </c>
      <c r="J174" s="2">
        <f>(H174-I174)*F174</f>
        <v>5600</v>
      </c>
    </row>
    <row r="175" spans="1:10" ht="16.5" x14ac:dyDescent="0.3">
      <c r="A175" s="4">
        <v>42860</v>
      </c>
      <c r="B175" s="2" t="s">
        <v>13</v>
      </c>
      <c r="C175" s="2">
        <v>1173</v>
      </c>
      <c r="D175" s="2" t="s">
        <v>11</v>
      </c>
      <c r="E175" s="2" t="s">
        <v>12</v>
      </c>
      <c r="F175" s="2">
        <v>50</v>
      </c>
      <c r="G175" s="2">
        <v>1</v>
      </c>
      <c r="H175" s="2">
        <v>80</v>
      </c>
      <c r="I175" s="2">
        <f>IF(H175=0,H175*0%,IF(H175=35,H175*2%,IF(H175=60,H175*5%,IF(H175=100,H175*6%,IF(H175=140,H175*8%,)))))</f>
        <v>0</v>
      </c>
      <c r="J175" s="2">
        <f>(H175-I175)*F175</f>
        <v>4000</v>
      </c>
    </row>
    <row r="176" spans="1:10" ht="16.5" x14ac:dyDescent="0.3">
      <c r="A176" s="4">
        <v>42745</v>
      </c>
      <c r="B176" s="2" t="s">
        <v>13</v>
      </c>
      <c r="C176" s="2">
        <v>1174</v>
      </c>
      <c r="D176" s="2" t="s">
        <v>23</v>
      </c>
      <c r="E176" s="2" t="s">
        <v>20</v>
      </c>
      <c r="F176" s="2">
        <v>50</v>
      </c>
      <c r="G176" s="2">
        <v>1</v>
      </c>
      <c r="H176" s="2">
        <v>75</v>
      </c>
      <c r="I176" s="2">
        <f>IF(H176=0,H176*0%,IF(H176=35,H176*2%,IF(H176=60,H176*5%,IF(H176=100,H176*6%,IF(H176=140,H176*8%,)))))</f>
        <v>0</v>
      </c>
      <c r="J176" s="2">
        <f>(H176-I176)*F176</f>
        <v>3750</v>
      </c>
    </row>
    <row r="177" spans="1:10" ht="16.5" x14ac:dyDescent="0.3">
      <c r="A177" s="4">
        <v>42801</v>
      </c>
      <c r="B177" s="2" t="s">
        <v>15</v>
      </c>
      <c r="C177" s="2">
        <v>1175</v>
      </c>
      <c r="D177" s="2" t="s">
        <v>27</v>
      </c>
      <c r="E177" s="2" t="s">
        <v>24</v>
      </c>
      <c r="F177" s="2">
        <v>30</v>
      </c>
      <c r="G177" s="2">
        <v>1</v>
      </c>
      <c r="H177" s="2">
        <v>130</v>
      </c>
      <c r="I177" s="2">
        <f>IF(H177=0,H177*0%,IF(H177=35,H177*2%,IF(H177=60,H177*5%,IF(H177=100,H177*6%,IF(H177=140,H177*8%,)))))</f>
        <v>0</v>
      </c>
      <c r="J177" s="2">
        <f>(H177-I177)*F177</f>
        <v>3900</v>
      </c>
    </row>
    <row r="178" spans="1:10" ht="16.5" x14ac:dyDescent="0.3">
      <c r="A178" s="4">
        <v>42791</v>
      </c>
      <c r="B178" s="2" t="s">
        <v>15</v>
      </c>
      <c r="C178" s="2">
        <v>1176</v>
      </c>
      <c r="D178" s="2" t="s">
        <v>11</v>
      </c>
      <c r="E178" s="2" t="s">
        <v>26</v>
      </c>
      <c r="F178" s="2">
        <v>30</v>
      </c>
      <c r="G178" s="2">
        <v>1</v>
      </c>
      <c r="H178" s="2">
        <v>90</v>
      </c>
      <c r="I178" s="2">
        <f>IF(H178=0,H178*0%,IF(H178=35,H178*2%,IF(H178=60,H178*5%,IF(H178=100,H178*6%,IF(H178=140,H178*8%,)))))</f>
        <v>0</v>
      </c>
      <c r="J178" s="2">
        <f>(H178-I178)*F178</f>
        <v>2700</v>
      </c>
    </row>
    <row r="179" spans="1:10" ht="16.5" x14ac:dyDescent="0.3">
      <c r="A179" s="4">
        <v>42861</v>
      </c>
      <c r="B179" s="2" t="s">
        <v>13</v>
      </c>
      <c r="C179" s="2">
        <v>1177</v>
      </c>
      <c r="D179" s="2" t="s">
        <v>11</v>
      </c>
      <c r="E179" s="2" t="s">
        <v>21</v>
      </c>
      <c r="F179" s="2">
        <v>50</v>
      </c>
      <c r="G179" s="2">
        <v>1</v>
      </c>
      <c r="H179" s="2">
        <v>45</v>
      </c>
      <c r="I179" s="2">
        <f>IF(H179=0,H179*0%,IF(H179=35,H179*2%,IF(H179=60,H179*5%,IF(H179=100,H179*6%,IF(H179=140,H179*8%,)))))</f>
        <v>0</v>
      </c>
      <c r="J179" s="2">
        <f>(H179-I179)*F179</f>
        <v>2250</v>
      </c>
    </row>
    <row r="180" spans="1:10" ht="16.5" x14ac:dyDescent="0.3">
      <c r="A180" s="4">
        <v>42794</v>
      </c>
      <c r="B180" s="2" t="s">
        <v>15</v>
      </c>
      <c r="C180" s="2">
        <v>1178</v>
      </c>
      <c r="D180" s="2" t="s">
        <v>14</v>
      </c>
      <c r="E180" s="2" t="s">
        <v>26</v>
      </c>
      <c r="F180" s="2">
        <v>30</v>
      </c>
      <c r="G180" s="2">
        <v>1</v>
      </c>
      <c r="H180" s="2">
        <v>80</v>
      </c>
      <c r="I180" s="2">
        <f>IF(H180=0,H180*0%,IF(H180=35,H180*2%,IF(H180=60,H180*5%,IF(H180=100,H180*6%,IF(H180=140,H180*8%,)))))</f>
        <v>0</v>
      </c>
      <c r="J180" s="2">
        <f>(H180-I180)*F180</f>
        <v>2400</v>
      </c>
    </row>
    <row r="181" spans="1:10" ht="16.5" x14ac:dyDescent="0.3">
      <c r="A181" s="4">
        <v>42851</v>
      </c>
      <c r="B181" s="2" t="s">
        <v>10</v>
      </c>
      <c r="C181" s="2">
        <v>1179</v>
      </c>
      <c r="D181" s="2" t="s">
        <v>18</v>
      </c>
      <c r="E181" s="2" t="s">
        <v>20</v>
      </c>
      <c r="F181" s="2">
        <v>70</v>
      </c>
      <c r="G181" s="2">
        <v>3</v>
      </c>
      <c r="H181" s="2">
        <v>40</v>
      </c>
      <c r="I181" s="2">
        <f>IF(H181=0,H181*0%,IF(H181=35,H181*2%,IF(H181=60,H181*5%,IF(H181=100,H181*6%,IF(H181=140,H181*8%,)))))</f>
        <v>0</v>
      </c>
      <c r="J181" s="2">
        <f>(H181-I181)*F181</f>
        <v>2800</v>
      </c>
    </row>
    <row r="182" spans="1:10" ht="16.5" x14ac:dyDescent="0.3">
      <c r="A182" s="4">
        <v>42744</v>
      </c>
      <c r="B182" s="2" t="s">
        <v>10</v>
      </c>
      <c r="C182" s="2">
        <v>1180</v>
      </c>
      <c r="D182" s="2" t="s">
        <v>11</v>
      </c>
      <c r="E182" s="2" t="s">
        <v>20</v>
      </c>
      <c r="F182" s="2">
        <v>70</v>
      </c>
      <c r="G182" s="2">
        <v>3</v>
      </c>
      <c r="H182" s="2">
        <v>105</v>
      </c>
      <c r="I182" s="2">
        <f>IF(H182=0,H182*0%,IF(H182=35,H182*2%,IF(H182=60,H182*5%,IF(H182=100,H182*6%,IF(H182=140,H182*8%,)))))</f>
        <v>0</v>
      </c>
      <c r="J182" s="2">
        <f>(H182-I182)*F182</f>
        <v>7350</v>
      </c>
    </row>
    <row r="183" spans="1:10" ht="16.5" x14ac:dyDescent="0.3">
      <c r="A183" s="4">
        <v>42915</v>
      </c>
      <c r="B183" s="2" t="s">
        <v>10</v>
      </c>
      <c r="C183" s="2">
        <v>1181</v>
      </c>
      <c r="D183" s="2" t="s">
        <v>18</v>
      </c>
      <c r="E183" s="2" t="s">
        <v>28</v>
      </c>
      <c r="F183" s="2">
        <v>70</v>
      </c>
      <c r="G183" s="2">
        <v>1</v>
      </c>
      <c r="H183" s="2">
        <v>115</v>
      </c>
      <c r="I183" s="2">
        <f>IF(H183=0,H183*0%,IF(H183=35,H183*2%,IF(H183=60,H183*5%,IF(H183=100,H183*6%,IF(H183=140,H183*8%,)))))</f>
        <v>0</v>
      </c>
      <c r="J183" s="2">
        <f>(H183-I183)*F183</f>
        <v>8050</v>
      </c>
    </row>
    <row r="184" spans="1:10" ht="16.5" x14ac:dyDescent="0.3">
      <c r="A184" s="4">
        <v>42764</v>
      </c>
      <c r="B184" s="2" t="s">
        <v>15</v>
      </c>
      <c r="C184" s="2">
        <v>1182</v>
      </c>
      <c r="D184" s="2" t="s">
        <v>16</v>
      </c>
      <c r="E184" s="2" t="s">
        <v>12</v>
      </c>
      <c r="F184" s="2">
        <v>30</v>
      </c>
      <c r="G184" s="2">
        <v>1</v>
      </c>
      <c r="H184" s="2">
        <v>80</v>
      </c>
      <c r="I184" s="2">
        <f>IF(H184=0,H184*0%,IF(H184=35,H184*2%,IF(H184=60,H184*5%,IF(H184=100,H184*6%,IF(H184=140,H184*8%,)))))</f>
        <v>0</v>
      </c>
      <c r="J184" s="2">
        <f>(H184-I184)*F184</f>
        <v>2400</v>
      </c>
    </row>
    <row r="185" spans="1:10" ht="16.5" x14ac:dyDescent="0.3">
      <c r="A185" s="4">
        <v>42907</v>
      </c>
      <c r="B185" s="2" t="s">
        <v>10</v>
      </c>
      <c r="C185" s="2">
        <v>1183</v>
      </c>
      <c r="D185" s="2" t="s">
        <v>23</v>
      </c>
      <c r="E185" s="2" t="s">
        <v>26</v>
      </c>
      <c r="F185" s="2">
        <v>70</v>
      </c>
      <c r="G185" s="2">
        <v>1</v>
      </c>
      <c r="H185" s="2">
        <v>75</v>
      </c>
      <c r="I185" s="2">
        <f>IF(H185=0,H185*0%,IF(H185=35,H185*2%,IF(H185=60,H185*5%,IF(H185=100,H185*6%,IF(H185=140,H185*8%,)))))</f>
        <v>0</v>
      </c>
      <c r="J185" s="2">
        <f>(H185-I185)*F185</f>
        <v>5250</v>
      </c>
    </row>
    <row r="186" spans="1:10" ht="16.5" x14ac:dyDescent="0.3">
      <c r="A186" s="4">
        <v>42767</v>
      </c>
      <c r="B186" s="2" t="s">
        <v>10</v>
      </c>
      <c r="C186" s="2">
        <v>1184</v>
      </c>
      <c r="D186" s="2" t="s">
        <v>11</v>
      </c>
      <c r="E186" s="2" t="s">
        <v>26</v>
      </c>
      <c r="F186" s="2">
        <v>70</v>
      </c>
      <c r="G186" s="2">
        <v>1</v>
      </c>
      <c r="H186" s="2">
        <v>120</v>
      </c>
      <c r="I186" s="2">
        <f>IF(H186=0,H186*0%,IF(H186=35,H186*2%,IF(H186=60,H186*5%,IF(H186=100,H186*6%,IF(H186=140,H186*8%,)))))</f>
        <v>0</v>
      </c>
      <c r="J186" s="2">
        <f>(H186-I186)*F186</f>
        <v>8400</v>
      </c>
    </row>
    <row r="187" spans="1:10" ht="16.5" x14ac:dyDescent="0.3">
      <c r="A187" s="4">
        <v>42749</v>
      </c>
      <c r="B187" s="2" t="s">
        <v>10</v>
      </c>
      <c r="C187" s="2">
        <v>1185</v>
      </c>
      <c r="D187" s="2" t="s">
        <v>16</v>
      </c>
      <c r="E187" s="2" t="s">
        <v>28</v>
      </c>
      <c r="F187" s="2">
        <v>70</v>
      </c>
      <c r="G187" s="2">
        <v>1</v>
      </c>
      <c r="H187" s="2">
        <v>75</v>
      </c>
      <c r="I187" s="2">
        <f>IF(H187=0,H187*0%,IF(H187=35,H187*2%,IF(H187=60,H187*5%,IF(H187=100,H187*6%,IF(H187=140,H187*8%,)))))</f>
        <v>0</v>
      </c>
      <c r="J187" s="2">
        <f>(H187-I187)*F187</f>
        <v>5250</v>
      </c>
    </row>
    <row r="188" spans="1:10" ht="16.5" x14ac:dyDescent="0.3">
      <c r="A188" s="4">
        <v>42839</v>
      </c>
      <c r="B188" s="2" t="s">
        <v>15</v>
      </c>
      <c r="C188" s="2">
        <v>1186</v>
      </c>
      <c r="D188" s="2" t="s">
        <v>16</v>
      </c>
      <c r="E188" s="2" t="s">
        <v>17</v>
      </c>
      <c r="F188" s="2">
        <v>30</v>
      </c>
      <c r="G188" s="2">
        <v>1</v>
      </c>
      <c r="H188" s="2">
        <v>50</v>
      </c>
      <c r="I188" s="2">
        <f>IF(H188=0,H188*0%,IF(H188=35,H188*2%,IF(H188=60,H188*5%,IF(H188=100,H188*6%,IF(H188=140,H188*8%,)))))</f>
        <v>0</v>
      </c>
      <c r="J188" s="2">
        <f>(H188-I188)*F188</f>
        <v>1500</v>
      </c>
    </row>
    <row r="189" spans="1:10" ht="16.5" x14ac:dyDescent="0.3">
      <c r="A189" s="4">
        <v>42881</v>
      </c>
      <c r="B189" s="2" t="s">
        <v>10</v>
      </c>
      <c r="C189" s="2">
        <v>1187</v>
      </c>
      <c r="D189" s="2" t="s">
        <v>14</v>
      </c>
      <c r="E189" s="2" t="s">
        <v>21</v>
      </c>
      <c r="F189" s="2">
        <v>70</v>
      </c>
      <c r="G189" s="2">
        <v>2</v>
      </c>
      <c r="H189" s="2">
        <v>45</v>
      </c>
      <c r="I189" s="2">
        <f>IF(H189=0,H189*0%,IF(H189=35,H189*2%,IF(H189=60,H189*5%,IF(H189=100,H189*6%,IF(H189=140,H189*8%,)))))</f>
        <v>0</v>
      </c>
      <c r="J189" s="2">
        <f>(H189-I189)*F189</f>
        <v>3150</v>
      </c>
    </row>
    <row r="190" spans="1:10" ht="16.5" x14ac:dyDescent="0.3">
      <c r="A190" s="4">
        <v>42900</v>
      </c>
      <c r="B190" s="2" t="s">
        <v>10</v>
      </c>
      <c r="C190" s="2">
        <v>1188</v>
      </c>
      <c r="D190" s="2" t="s">
        <v>16</v>
      </c>
      <c r="E190" s="2" t="s">
        <v>28</v>
      </c>
      <c r="F190" s="2">
        <v>70</v>
      </c>
      <c r="G190" s="2">
        <v>1</v>
      </c>
      <c r="H190" s="2">
        <v>130</v>
      </c>
      <c r="I190" s="2">
        <f>IF(H190=0,H190*0%,IF(H190=35,H190*2%,IF(H190=60,H190*5%,IF(H190=100,H190*6%,IF(H190=140,H190*8%,)))))</f>
        <v>0</v>
      </c>
      <c r="J190" s="2">
        <f>(H190-I190)*F190</f>
        <v>9100</v>
      </c>
    </row>
    <row r="191" spans="1:10" ht="16.5" x14ac:dyDescent="0.3">
      <c r="A191" s="4">
        <v>42782</v>
      </c>
      <c r="B191" s="2" t="s">
        <v>15</v>
      </c>
      <c r="C191" s="2">
        <v>1189</v>
      </c>
      <c r="D191" s="2" t="s">
        <v>11</v>
      </c>
      <c r="E191" s="2" t="s">
        <v>12</v>
      </c>
      <c r="F191" s="2">
        <v>30</v>
      </c>
      <c r="G191" s="2">
        <v>1</v>
      </c>
      <c r="H191" s="2">
        <v>90</v>
      </c>
      <c r="I191" s="2">
        <f>IF(H191=0,H191*0%,IF(H191=35,H191*2%,IF(H191=60,H191*5%,IF(H191=100,H191*6%,IF(H191=140,H191*8%,)))))</f>
        <v>0</v>
      </c>
      <c r="J191" s="2">
        <f>(H191-I191)*F191</f>
        <v>2700</v>
      </c>
    </row>
    <row r="192" spans="1:10" ht="16.5" x14ac:dyDescent="0.3">
      <c r="A192" s="4">
        <v>42904</v>
      </c>
      <c r="B192" s="2" t="s">
        <v>13</v>
      </c>
      <c r="C192" s="2">
        <v>1190</v>
      </c>
      <c r="D192" s="2" t="s">
        <v>23</v>
      </c>
      <c r="E192" s="2" t="s">
        <v>21</v>
      </c>
      <c r="F192" s="2">
        <v>50</v>
      </c>
      <c r="G192" s="2">
        <v>1</v>
      </c>
      <c r="H192" s="2">
        <v>45</v>
      </c>
      <c r="I192" s="2">
        <f>IF(H192=0,H192*0%,IF(H192=35,H192*2%,IF(H192=60,H192*5%,IF(H192=100,H192*6%,IF(H192=140,H192*8%,)))))</f>
        <v>0</v>
      </c>
      <c r="J192" s="2">
        <f>(H192-I192)*F192</f>
        <v>2250</v>
      </c>
    </row>
    <row r="193" spans="1:10" ht="16.5" x14ac:dyDescent="0.3">
      <c r="A193" s="4">
        <v>42867</v>
      </c>
      <c r="B193" s="2" t="s">
        <v>13</v>
      </c>
      <c r="C193" s="2">
        <v>1191</v>
      </c>
      <c r="D193" s="2" t="s">
        <v>27</v>
      </c>
      <c r="E193" s="2" t="s">
        <v>17</v>
      </c>
      <c r="F193" s="2">
        <v>50</v>
      </c>
      <c r="G193" s="2">
        <v>1</v>
      </c>
      <c r="H193" s="2">
        <v>50</v>
      </c>
      <c r="I193" s="2">
        <f>IF(H193=0,H193*0%,IF(H193=35,H193*2%,IF(H193=60,H193*5%,IF(H193=100,H193*6%,IF(H193=140,H193*8%,)))))</f>
        <v>0</v>
      </c>
      <c r="J193" s="2">
        <f>(H193-I193)*F193</f>
        <v>2500</v>
      </c>
    </row>
    <row r="194" spans="1:10" ht="16.5" x14ac:dyDescent="0.3">
      <c r="A194" s="4">
        <v>42874</v>
      </c>
      <c r="B194" s="2" t="s">
        <v>13</v>
      </c>
      <c r="C194" s="2">
        <v>1192</v>
      </c>
      <c r="D194" s="2" t="s">
        <v>27</v>
      </c>
      <c r="E194" s="2" t="s">
        <v>25</v>
      </c>
      <c r="F194" s="2">
        <v>50</v>
      </c>
      <c r="G194" s="2">
        <v>1</v>
      </c>
      <c r="H194" s="2">
        <v>50</v>
      </c>
      <c r="I194" s="2">
        <f>IF(H194=0,H194*0%,IF(H194=35,H194*2%,IF(H194=60,H194*5%,IF(H194=100,H194*6%,IF(H194=140,H194*8%,)))))</f>
        <v>0</v>
      </c>
      <c r="J194" s="2">
        <f>(H194-I194)*F194</f>
        <v>2500</v>
      </c>
    </row>
    <row r="195" spans="1:10" ht="16.5" x14ac:dyDescent="0.3">
      <c r="A195" s="4">
        <v>42856</v>
      </c>
      <c r="B195" s="2" t="s">
        <v>13</v>
      </c>
      <c r="C195" s="2">
        <v>1193</v>
      </c>
      <c r="D195" s="2" t="s">
        <v>11</v>
      </c>
      <c r="E195" s="2" t="s">
        <v>20</v>
      </c>
      <c r="F195" s="2">
        <v>50</v>
      </c>
      <c r="G195" s="2">
        <v>1</v>
      </c>
      <c r="H195" s="2">
        <v>45</v>
      </c>
      <c r="I195" s="2">
        <f>IF(H195=0,H195*0%,IF(H195=35,H195*2%,IF(H195=60,H195*5%,IF(H195=100,H195*6%,IF(H195=140,H195*8%,)))))</f>
        <v>0</v>
      </c>
      <c r="J195" s="2">
        <f>(H195-I195)*F195</f>
        <v>2250</v>
      </c>
    </row>
    <row r="196" spans="1:10" ht="16.5" x14ac:dyDescent="0.3">
      <c r="A196" s="4">
        <v>42819</v>
      </c>
      <c r="B196" s="2" t="s">
        <v>15</v>
      </c>
      <c r="C196" s="2">
        <v>1194</v>
      </c>
      <c r="D196" s="2" t="s">
        <v>14</v>
      </c>
      <c r="E196" s="2" t="s">
        <v>28</v>
      </c>
      <c r="F196" s="2">
        <v>30</v>
      </c>
      <c r="G196" s="2">
        <v>1</v>
      </c>
      <c r="H196" s="2">
        <v>130</v>
      </c>
      <c r="I196" s="2">
        <f>IF(H196=0,H196*0%,IF(H196=35,H196*2%,IF(H196=60,H196*5%,IF(H196=100,H196*6%,IF(H196=140,H196*8%,)))))</f>
        <v>0</v>
      </c>
      <c r="J196" s="2">
        <f>(H196-I196)*F196</f>
        <v>3900</v>
      </c>
    </row>
    <row r="197" spans="1:10" ht="16.5" x14ac:dyDescent="0.3">
      <c r="A197" s="4">
        <v>42755</v>
      </c>
      <c r="B197" s="2" t="s">
        <v>13</v>
      </c>
      <c r="C197" s="2">
        <v>1195</v>
      </c>
      <c r="D197" s="2" t="s">
        <v>23</v>
      </c>
      <c r="E197" s="2" t="s">
        <v>24</v>
      </c>
      <c r="F197" s="2">
        <v>50</v>
      </c>
      <c r="G197" s="2">
        <v>1</v>
      </c>
      <c r="H197" s="2">
        <v>80</v>
      </c>
      <c r="I197" s="2">
        <f>IF(H197=0,H197*0%,IF(H197=35,H197*2%,IF(H197=60,H197*5%,IF(H197=100,H197*6%,IF(H197=140,H197*8%,)))))</f>
        <v>0</v>
      </c>
      <c r="J197" s="2">
        <f>(H197-I197)*F197</f>
        <v>4000</v>
      </c>
    </row>
    <row r="198" spans="1:10" ht="16.5" x14ac:dyDescent="0.3">
      <c r="A198" s="4">
        <v>42913</v>
      </c>
      <c r="B198" s="2" t="s">
        <v>15</v>
      </c>
      <c r="C198" s="2">
        <v>1196</v>
      </c>
      <c r="D198" s="2" t="s">
        <v>18</v>
      </c>
      <c r="E198" s="2" t="s">
        <v>19</v>
      </c>
      <c r="F198" s="2">
        <v>30</v>
      </c>
      <c r="G198" s="2">
        <v>1</v>
      </c>
      <c r="H198" s="2">
        <v>50</v>
      </c>
      <c r="I198" s="2">
        <f>IF(H198=0,H198*0%,IF(H198=35,H198*2%,IF(H198=60,H198*5%,IF(H198=100,H198*6%,IF(H198=140,H198*8%,)))))</f>
        <v>0</v>
      </c>
      <c r="J198" s="2">
        <f>(H198-I198)*F198</f>
        <v>1500</v>
      </c>
    </row>
    <row r="199" spans="1:10" ht="16.5" x14ac:dyDescent="0.3">
      <c r="A199" s="4">
        <v>42806</v>
      </c>
      <c r="B199" s="2" t="s">
        <v>13</v>
      </c>
      <c r="C199" s="2">
        <v>1197</v>
      </c>
      <c r="D199" s="2" t="s">
        <v>11</v>
      </c>
      <c r="E199" s="2" t="s">
        <v>19</v>
      </c>
      <c r="F199" s="2">
        <v>50</v>
      </c>
      <c r="G199" s="2">
        <v>1</v>
      </c>
      <c r="H199" s="2">
        <v>75</v>
      </c>
      <c r="I199" s="2">
        <f>IF(H199=0,H199*0%,IF(H199=35,H199*2%,IF(H199=60,H199*5%,IF(H199=100,H199*6%,IF(H199=140,H199*8%,)))))</f>
        <v>0</v>
      </c>
      <c r="J199" s="2">
        <f>(H199-I199)*F199</f>
        <v>3750</v>
      </c>
    </row>
    <row r="200" spans="1:10" ht="16.5" x14ac:dyDescent="0.3">
      <c r="A200" s="4">
        <v>42865</v>
      </c>
      <c r="B200" s="2" t="s">
        <v>10</v>
      </c>
      <c r="C200" s="2">
        <v>1198</v>
      </c>
      <c r="D200" s="2" t="s">
        <v>18</v>
      </c>
      <c r="E200" s="2" t="s">
        <v>19</v>
      </c>
      <c r="F200" s="2">
        <v>70</v>
      </c>
      <c r="G200" s="2">
        <v>1</v>
      </c>
      <c r="H200" s="2">
        <v>80</v>
      </c>
      <c r="I200" s="2">
        <f>IF(H200=0,H200*0%,IF(H200=35,H200*2%,IF(H200=60,H200*5%,IF(H200=100,H200*6%,IF(H200=140,H200*8%,)))))</f>
        <v>0</v>
      </c>
      <c r="J200" s="2">
        <f>(H200-I200)*F200</f>
        <v>5600</v>
      </c>
    </row>
    <row r="201" spans="1:10" ht="16.5" x14ac:dyDescent="0.3">
      <c r="A201" s="4">
        <v>42903</v>
      </c>
      <c r="B201" s="2" t="s">
        <v>10</v>
      </c>
      <c r="C201" s="2">
        <v>1199</v>
      </c>
      <c r="D201" s="2" t="s">
        <v>11</v>
      </c>
      <c r="E201" s="2" t="s">
        <v>19</v>
      </c>
      <c r="F201" s="2">
        <v>70</v>
      </c>
      <c r="G201" s="2">
        <v>1</v>
      </c>
      <c r="H201" s="2">
        <v>45</v>
      </c>
      <c r="I201" s="2">
        <f>IF(H201=0,H201*0%,IF(H201=35,H201*2%,IF(H201=60,H201*5%,IF(H201=100,H201*6%,IF(H201=140,H201*8%,)))))</f>
        <v>0</v>
      </c>
      <c r="J201" s="2">
        <f>(H201-I201)*F201</f>
        <v>3150</v>
      </c>
    </row>
    <row r="202" spans="1:10" ht="16.5" x14ac:dyDescent="0.3">
      <c r="A202" s="4">
        <v>42752</v>
      </c>
      <c r="B202" s="2" t="s">
        <v>10</v>
      </c>
      <c r="C202" s="2">
        <v>1200</v>
      </c>
      <c r="D202" s="2" t="s">
        <v>11</v>
      </c>
      <c r="E202" s="2" t="s">
        <v>12</v>
      </c>
      <c r="F202" s="2">
        <v>70</v>
      </c>
      <c r="G202" s="2">
        <v>1</v>
      </c>
      <c r="H202" s="2">
        <v>115</v>
      </c>
      <c r="I202" s="2">
        <f>IF(H202=0,H202*0%,IF(H202=35,H202*2%,IF(H202=60,H202*5%,IF(H202=100,H202*6%,IF(H202=140,H202*8%,)))))</f>
        <v>0</v>
      </c>
      <c r="J202" s="2">
        <f>(H202-I202)*F202</f>
        <v>8050</v>
      </c>
    </row>
    <row r="203" spans="1:10" ht="16.5" x14ac:dyDescent="0.3">
      <c r="A203" s="4">
        <v>42847</v>
      </c>
      <c r="B203" s="2" t="s">
        <v>13</v>
      </c>
      <c r="C203" s="2">
        <v>1201</v>
      </c>
      <c r="D203" s="2" t="s">
        <v>14</v>
      </c>
      <c r="E203" s="2" t="s">
        <v>12</v>
      </c>
      <c r="F203" s="2">
        <v>50</v>
      </c>
      <c r="G203" s="2">
        <v>1</v>
      </c>
      <c r="H203" s="2">
        <v>60</v>
      </c>
      <c r="I203" s="2">
        <f>IF(H203=0,H203*0%,IF(H203=35,H203*2%,IF(H203=60,H203*5%,IF(H203=100,H203*6%,IF(H203=140,H203*8%,)))))</f>
        <v>3</v>
      </c>
      <c r="J203" s="2">
        <f>(H203-I203)*F203</f>
        <v>2850</v>
      </c>
    </row>
    <row r="204" spans="1:10" ht="16.5" x14ac:dyDescent="0.3">
      <c r="A204" s="4">
        <v>42913</v>
      </c>
      <c r="B204" s="2" t="s">
        <v>15</v>
      </c>
      <c r="C204" s="2">
        <v>1202</v>
      </c>
      <c r="D204" s="2" t="s">
        <v>16</v>
      </c>
      <c r="E204" s="2" t="s">
        <v>12</v>
      </c>
      <c r="F204" s="2">
        <v>30</v>
      </c>
      <c r="G204" s="2">
        <v>1</v>
      </c>
      <c r="H204" s="2">
        <v>110</v>
      </c>
      <c r="I204" s="2">
        <f>IF(H204=0,H204*0%,IF(H204=35,H204*2%,IF(H204=60,H204*5%,IF(H204=100,H204*6%,IF(H204=140,H204*8%,)))))</f>
        <v>0</v>
      </c>
      <c r="J204" s="2">
        <f>(H204-I204)*F204</f>
        <v>3300</v>
      </c>
    </row>
    <row r="205" spans="1:10" ht="16.5" x14ac:dyDescent="0.3">
      <c r="A205" s="4">
        <v>42887</v>
      </c>
      <c r="B205" s="2" t="s">
        <v>10</v>
      </c>
      <c r="C205" s="2">
        <v>1203</v>
      </c>
      <c r="D205" s="2" t="s">
        <v>16</v>
      </c>
      <c r="E205" s="2" t="s">
        <v>17</v>
      </c>
      <c r="F205" s="2">
        <v>70</v>
      </c>
      <c r="G205" s="2">
        <v>1</v>
      </c>
      <c r="H205" s="2">
        <v>40</v>
      </c>
      <c r="I205" s="2">
        <f>IF(H205=0,H205*0%,IF(H205=35,H205*2%,IF(H205=60,H205*5%,IF(H205=100,H205*6%,IF(H205=140,H205*8%,)))))</f>
        <v>0</v>
      </c>
      <c r="J205" s="2">
        <f>(H205-I205)*F205</f>
        <v>2800</v>
      </c>
    </row>
    <row r="206" spans="1:10" ht="16.5" x14ac:dyDescent="0.3">
      <c r="A206" s="4">
        <v>42787</v>
      </c>
      <c r="B206" s="2" t="s">
        <v>13</v>
      </c>
      <c r="C206" s="2">
        <v>1204</v>
      </c>
      <c r="D206" s="2" t="s">
        <v>18</v>
      </c>
      <c r="E206" s="2" t="s">
        <v>19</v>
      </c>
      <c r="F206" s="2">
        <v>50</v>
      </c>
      <c r="G206" s="2">
        <v>1</v>
      </c>
      <c r="H206" s="2">
        <v>40</v>
      </c>
      <c r="I206" s="2">
        <f>IF(H206=0,H206*0%,IF(H206=35,H206*2%,IF(H206=60,H206*5%,IF(H206=100,H206*6%,IF(H206=140,H206*8%,)))))</f>
        <v>0</v>
      </c>
      <c r="J206" s="2">
        <f>(H206-I206)*F206</f>
        <v>2000</v>
      </c>
    </row>
    <row r="207" spans="1:10" ht="16.5" x14ac:dyDescent="0.3">
      <c r="A207" s="4">
        <v>42843</v>
      </c>
      <c r="B207" s="2" t="s">
        <v>13</v>
      </c>
      <c r="C207" s="2">
        <v>1205</v>
      </c>
      <c r="D207" s="2" t="s">
        <v>16</v>
      </c>
      <c r="E207" s="2" t="s">
        <v>20</v>
      </c>
      <c r="F207" s="2">
        <v>50</v>
      </c>
      <c r="G207" s="2">
        <v>1</v>
      </c>
      <c r="H207" s="2">
        <v>90</v>
      </c>
      <c r="I207" s="2">
        <f>IF(H207=0,H207*0%,IF(H207=35,H207*2%,IF(H207=60,H207*5%,IF(H207=100,H207*6%,IF(H207=140,H207*8%,)))))</f>
        <v>0</v>
      </c>
      <c r="J207" s="2">
        <f>(H207-I207)*F207</f>
        <v>4500</v>
      </c>
    </row>
    <row r="208" spans="1:10" ht="16.5" x14ac:dyDescent="0.3">
      <c r="A208" s="4">
        <v>42883</v>
      </c>
      <c r="B208" s="2" t="s">
        <v>13</v>
      </c>
      <c r="C208" s="2">
        <v>1206</v>
      </c>
      <c r="D208" s="2" t="s">
        <v>14</v>
      </c>
      <c r="E208" s="2" t="s">
        <v>21</v>
      </c>
      <c r="F208" s="2">
        <v>50</v>
      </c>
      <c r="G208" s="2">
        <v>1</v>
      </c>
      <c r="H208" s="2">
        <v>50</v>
      </c>
      <c r="I208" s="2">
        <f>IF(H208=0,H208*0%,IF(H208=35,H208*2%,IF(H208=60,H208*5%,IF(H208=100,H208*6%,IF(H208=140,H208*8%,)))))</f>
        <v>0</v>
      </c>
      <c r="J208" s="2">
        <f>(H208-I208)*F208</f>
        <v>2500</v>
      </c>
    </row>
    <row r="209" spans="1:10" ht="16.5" x14ac:dyDescent="0.3">
      <c r="A209" s="4">
        <v>42737</v>
      </c>
      <c r="B209" s="2" t="s">
        <v>15</v>
      </c>
      <c r="C209" s="2">
        <v>1207</v>
      </c>
      <c r="D209" s="2" t="s">
        <v>16</v>
      </c>
      <c r="E209" s="2" t="s">
        <v>22</v>
      </c>
      <c r="F209" s="2">
        <v>30</v>
      </c>
      <c r="G209" s="2">
        <v>1</v>
      </c>
      <c r="H209" s="2">
        <v>160</v>
      </c>
      <c r="I209" s="2">
        <f>IF(H209=0,H209*0%,IF(H209=35,H209*2%,IF(H209=60,H209*5%,IF(H209=100,H209*6%,IF(H209=140,H209*8%,)))))</f>
        <v>0</v>
      </c>
      <c r="J209" s="2">
        <f>(H209-I209)*F209</f>
        <v>4800</v>
      </c>
    </row>
    <row r="210" spans="1:10" ht="16.5" x14ac:dyDescent="0.3">
      <c r="A210" s="4">
        <v>42883</v>
      </c>
      <c r="B210" s="2" t="s">
        <v>10</v>
      </c>
      <c r="C210" s="2">
        <v>1208</v>
      </c>
      <c r="D210" s="2" t="s">
        <v>23</v>
      </c>
      <c r="E210" s="2" t="s">
        <v>24</v>
      </c>
      <c r="F210" s="2">
        <v>70</v>
      </c>
      <c r="G210" s="2">
        <v>1</v>
      </c>
      <c r="H210" s="2">
        <v>105</v>
      </c>
      <c r="I210" s="2">
        <f>IF(H210=0,H210*0%,IF(H210=35,H210*2%,IF(H210=60,H210*5%,IF(H210=100,H210*6%,IF(H210=140,H210*8%,)))))</f>
        <v>0</v>
      </c>
      <c r="J210" s="2">
        <f>(H210-I210)*F210</f>
        <v>7350</v>
      </c>
    </row>
    <row r="211" spans="1:10" ht="16.5" x14ac:dyDescent="0.3">
      <c r="A211" s="4">
        <v>42786</v>
      </c>
      <c r="B211" s="2" t="s">
        <v>15</v>
      </c>
      <c r="C211" s="2">
        <v>1209</v>
      </c>
      <c r="D211" s="2" t="s">
        <v>14</v>
      </c>
      <c r="E211" s="2" t="s">
        <v>19</v>
      </c>
      <c r="F211" s="2">
        <v>30</v>
      </c>
      <c r="G211" s="2">
        <v>1</v>
      </c>
      <c r="H211" s="2">
        <v>60</v>
      </c>
      <c r="I211" s="2">
        <f>IF(H211=0,H211*0%,IF(H211=35,H211*2%,IF(H211=60,H211*5%,IF(H211=100,H211*6%,IF(H211=140,H211*8%,)))))</f>
        <v>3</v>
      </c>
      <c r="J211" s="2">
        <f>(H211-I211)*F211</f>
        <v>1710</v>
      </c>
    </row>
    <row r="212" spans="1:10" ht="16.5" x14ac:dyDescent="0.3">
      <c r="A212" s="4">
        <v>42896</v>
      </c>
      <c r="B212" s="2" t="s">
        <v>13</v>
      </c>
      <c r="C212" s="2">
        <v>1210</v>
      </c>
      <c r="D212" s="2" t="s">
        <v>23</v>
      </c>
      <c r="E212" s="2" t="s">
        <v>25</v>
      </c>
      <c r="F212" s="2">
        <v>50</v>
      </c>
      <c r="G212" s="2">
        <v>1</v>
      </c>
      <c r="H212" s="2">
        <v>160</v>
      </c>
      <c r="I212" s="2">
        <f>IF(H212=0,H212*0%,IF(H212=35,H212*2%,IF(H212=60,H212*5%,IF(H212=100,H212*6%,IF(H212=140,H212*8%,)))))</f>
        <v>0</v>
      </c>
      <c r="J212" s="2">
        <f>(H212-I212)*F212</f>
        <v>8000</v>
      </c>
    </row>
    <row r="213" spans="1:10" ht="16.5" x14ac:dyDescent="0.3">
      <c r="A213" s="4">
        <v>42910</v>
      </c>
      <c r="B213" s="2" t="s">
        <v>15</v>
      </c>
      <c r="C213" s="2">
        <v>1211</v>
      </c>
      <c r="D213" s="2" t="s">
        <v>18</v>
      </c>
      <c r="E213" s="2" t="s">
        <v>17</v>
      </c>
      <c r="F213" s="2">
        <v>30</v>
      </c>
      <c r="G213" s="2">
        <v>1</v>
      </c>
      <c r="H213" s="2">
        <v>35</v>
      </c>
      <c r="I213" s="2">
        <f>IF(H213=0,H213*0%,IF(H213=35,H213*2%,IF(H213=60,H213*5%,IF(H213=100,H213*6%,IF(H213=140,H213*8%,)))))</f>
        <v>0.70000000000000007</v>
      </c>
      <c r="J213" s="2">
        <f>(H213-I213)*F213</f>
        <v>1029</v>
      </c>
    </row>
    <row r="214" spans="1:10" ht="16.5" x14ac:dyDescent="0.3">
      <c r="A214" s="4">
        <v>42797</v>
      </c>
      <c r="B214" s="2" t="s">
        <v>15</v>
      </c>
      <c r="C214" s="2">
        <v>1212</v>
      </c>
      <c r="D214" s="2" t="s">
        <v>14</v>
      </c>
      <c r="E214" s="2" t="s">
        <v>20</v>
      </c>
      <c r="F214" s="2">
        <v>30</v>
      </c>
      <c r="G214" s="2">
        <v>1</v>
      </c>
      <c r="H214" s="2">
        <v>40</v>
      </c>
      <c r="I214" s="2">
        <f>IF(H214=0,H214*0%,IF(H214=35,H214*2%,IF(H214=60,H214*5%,IF(H214=100,H214*6%,IF(H214=140,H214*8%,)))))</f>
        <v>0</v>
      </c>
      <c r="J214" s="2">
        <f>(H214-I214)*F214</f>
        <v>1200</v>
      </c>
    </row>
    <row r="215" spans="1:10" ht="16.5" x14ac:dyDescent="0.3">
      <c r="A215" s="4">
        <v>42806</v>
      </c>
      <c r="B215" s="2" t="s">
        <v>15</v>
      </c>
      <c r="C215" s="2">
        <v>1213</v>
      </c>
      <c r="D215" s="2" t="s">
        <v>18</v>
      </c>
      <c r="E215" s="2" t="s">
        <v>21</v>
      </c>
      <c r="F215" s="2">
        <v>30</v>
      </c>
      <c r="G215" s="2">
        <v>1</v>
      </c>
      <c r="H215" s="2">
        <v>160</v>
      </c>
      <c r="I215" s="2">
        <f>IF(H215=0,H215*0%,IF(H215=35,H215*2%,IF(H215=60,H215*5%,IF(H215=100,H215*6%,IF(H215=140,H215*8%,)))))</f>
        <v>0</v>
      </c>
      <c r="J215" s="2">
        <f>(H215-I215)*F215</f>
        <v>4800</v>
      </c>
    </row>
    <row r="216" spans="1:10" ht="16.5" x14ac:dyDescent="0.3">
      <c r="A216" s="4">
        <v>42809</v>
      </c>
      <c r="B216" s="2" t="s">
        <v>13</v>
      </c>
      <c r="C216" s="2">
        <v>1214</v>
      </c>
      <c r="D216" s="2" t="s">
        <v>16</v>
      </c>
      <c r="E216" s="2" t="s">
        <v>26</v>
      </c>
      <c r="F216" s="2">
        <v>50</v>
      </c>
      <c r="G216" s="2">
        <v>1</v>
      </c>
      <c r="H216" s="2">
        <v>100</v>
      </c>
      <c r="I216" s="2">
        <f>IF(H216=0,H216*0%,IF(H216=35,H216*2%,IF(H216=60,H216*5%,IF(H216=100,H216*6%,IF(H216=140,H216*8%,)))))</f>
        <v>6</v>
      </c>
      <c r="J216" s="2">
        <f>(H216-I216)*F216</f>
        <v>4700</v>
      </c>
    </row>
    <row r="217" spans="1:10" ht="16.5" x14ac:dyDescent="0.3">
      <c r="A217" s="4">
        <v>42795</v>
      </c>
      <c r="B217" s="2" t="s">
        <v>10</v>
      </c>
      <c r="C217" s="2">
        <v>1215</v>
      </c>
      <c r="D217" s="2" t="s">
        <v>16</v>
      </c>
      <c r="E217" s="2" t="s">
        <v>20</v>
      </c>
      <c r="F217" s="2">
        <v>70</v>
      </c>
      <c r="G217" s="2">
        <v>3</v>
      </c>
      <c r="H217" s="2">
        <v>50</v>
      </c>
      <c r="I217" s="2">
        <f>IF(H217=0,H217*0%,IF(H217=35,H217*2%,IF(H217=60,H217*5%,IF(H217=100,H217*6%,IF(H217=140,H217*8%,)))))</f>
        <v>0</v>
      </c>
      <c r="J217" s="2">
        <f>(H217-I217)*F217</f>
        <v>3500</v>
      </c>
    </row>
    <row r="218" spans="1:10" ht="16.5" x14ac:dyDescent="0.3">
      <c r="A218" s="4">
        <v>42812</v>
      </c>
      <c r="B218" s="2" t="s">
        <v>15</v>
      </c>
      <c r="C218" s="2">
        <v>1216</v>
      </c>
      <c r="D218" s="2" t="s">
        <v>23</v>
      </c>
      <c r="E218" s="2" t="s">
        <v>12</v>
      </c>
      <c r="F218" s="2">
        <v>30</v>
      </c>
      <c r="G218" s="2">
        <v>1</v>
      </c>
      <c r="H218" s="2">
        <v>180</v>
      </c>
      <c r="I218" s="2">
        <f>IF(H218=0,H218*0%,IF(H218=35,H218*2%,IF(H218=60,H218*5%,IF(H218=100,H218*6%,IF(H218=140,H218*8%,)))))</f>
        <v>0</v>
      </c>
      <c r="J218" s="2">
        <f>(H218-I218)*F218</f>
        <v>5400</v>
      </c>
    </row>
    <row r="219" spans="1:10" ht="16.5" x14ac:dyDescent="0.3">
      <c r="A219" s="4">
        <v>42772</v>
      </c>
      <c r="B219" s="2" t="s">
        <v>13</v>
      </c>
      <c r="C219" s="2">
        <v>1217</v>
      </c>
      <c r="D219" s="2" t="s">
        <v>27</v>
      </c>
      <c r="E219" s="2" t="s">
        <v>22</v>
      </c>
      <c r="F219" s="2">
        <v>50</v>
      </c>
      <c r="G219" s="2">
        <v>1</v>
      </c>
      <c r="H219" s="2">
        <v>75</v>
      </c>
      <c r="I219" s="2">
        <f>IF(H219=0,H219*0%,IF(H219=35,H219*2%,IF(H219=60,H219*5%,IF(H219=100,H219*6%,IF(H219=140,H219*8%,)))))</f>
        <v>0</v>
      </c>
      <c r="J219" s="2">
        <f>(H219-I219)*F219</f>
        <v>3750</v>
      </c>
    </row>
    <row r="220" spans="1:10" ht="16.5" x14ac:dyDescent="0.3">
      <c r="A220" s="4">
        <v>42821</v>
      </c>
      <c r="B220" s="2" t="s">
        <v>10</v>
      </c>
      <c r="C220" s="2">
        <v>1218</v>
      </c>
      <c r="D220" s="2" t="s">
        <v>18</v>
      </c>
      <c r="E220" s="2" t="s">
        <v>19</v>
      </c>
      <c r="F220" s="2">
        <v>70</v>
      </c>
      <c r="G220" s="2">
        <v>1</v>
      </c>
      <c r="H220" s="2">
        <v>120</v>
      </c>
      <c r="I220" s="2">
        <f>IF(H220=0,H220*0%,IF(H220=35,H220*2%,IF(H220=60,H220*5%,IF(H220=100,H220*6%,IF(H220=140,H220*8%,)))))</f>
        <v>0</v>
      </c>
      <c r="J220" s="2">
        <f>(H220-I220)*F220</f>
        <v>8400</v>
      </c>
    </row>
    <row r="221" spans="1:10" ht="16.5" x14ac:dyDescent="0.3">
      <c r="A221" s="4">
        <v>42785</v>
      </c>
      <c r="B221" s="2" t="s">
        <v>13</v>
      </c>
      <c r="C221" s="2">
        <v>1219</v>
      </c>
      <c r="D221" s="2" t="s">
        <v>14</v>
      </c>
      <c r="E221" s="2" t="s">
        <v>19</v>
      </c>
      <c r="F221" s="2">
        <v>50</v>
      </c>
      <c r="G221" s="2">
        <v>1</v>
      </c>
      <c r="H221" s="2">
        <v>75</v>
      </c>
      <c r="I221" s="2">
        <f>IF(H221=0,H221*0%,IF(H221=35,H221*2%,IF(H221=60,H221*5%,IF(H221=100,H221*6%,IF(H221=140,H221*8%,)))))</f>
        <v>0</v>
      </c>
      <c r="J221" s="2">
        <f>(H221-I221)*F221</f>
        <v>3750</v>
      </c>
    </row>
    <row r="222" spans="1:10" ht="16.5" x14ac:dyDescent="0.3">
      <c r="A222" s="4">
        <v>42880</v>
      </c>
      <c r="B222" s="2" t="s">
        <v>13</v>
      </c>
      <c r="C222" s="2">
        <v>1220</v>
      </c>
      <c r="D222" s="2" t="s">
        <v>11</v>
      </c>
      <c r="E222" s="2" t="s">
        <v>21</v>
      </c>
      <c r="F222" s="2">
        <v>50</v>
      </c>
      <c r="G222" s="2">
        <v>1</v>
      </c>
      <c r="H222" s="2">
        <v>50</v>
      </c>
      <c r="I222" s="2">
        <f>IF(H222=0,H222*0%,IF(H222=35,H222*2%,IF(H222=60,H222*5%,IF(H222=100,H222*6%,IF(H222=140,H222*8%,)))))</f>
        <v>0</v>
      </c>
      <c r="J222" s="2">
        <f>(H222-I222)*F222</f>
        <v>2500</v>
      </c>
    </row>
    <row r="223" spans="1:10" ht="16.5" x14ac:dyDescent="0.3">
      <c r="A223" s="4">
        <v>42822</v>
      </c>
      <c r="B223" s="2" t="s">
        <v>10</v>
      </c>
      <c r="C223" s="2">
        <v>1221</v>
      </c>
      <c r="D223" s="2" t="s">
        <v>11</v>
      </c>
      <c r="E223" s="2" t="s">
        <v>19</v>
      </c>
      <c r="F223" s="2">
        <v>70</v>
      </c>
      <c r="G223" s="2">
        <v>1</v>
      </c>
      <c r="H223" s="2">
        <v>90</v>
      </c>
      <c r="I223" s="2">
        <f>IF(H223=0,H223*0%,IF(H223=35,H223*2%,IF(H223=60,H223*5%,IF(H223=100,H223*6%,IF(H223=140,H223*8%,)))))</f>
        <v>0</v>
      </c>
      <c r="J223" s="2">
        <f>(H223-I223)*F223</f>
        <v>6300</v>
      </c>
    </row>
    <row r="224" spans="1:10" ht="16.5" x14ac:dyDescent="0.3">
      <c r="A224" s="4">
        <v>42893</v>
      </c>
      <c r="B224" s="2" t="s">
        <v>15</v>
      </c>
      <c r="C224" s="2">
        <v>1222</v>
      </c>
      <c r="D224" s="2" t="s">
        <v>27</v>
      </c>
      <c r="E224" s="2" t="s">
        <v>21</v>
      </c>
      <c r="F224" s="2">
        <v>30</v>
      </c>
      <c r="G224" s="2">
        <v>1</v>
      </c>
      <c r="H224" s="2">
        <v>80</v>
      </c>
      <c r="I224" s="2">
        <f>IF(H224=0,H224*0%,IF(H224=35,H224*2%,IF(H224=60,H224*5%,IF(H224=100,H224*6%,IF(H224=140,H224*8%,)))))</f>
        <v>0</v>
      </c>
      <c r="J224" s="2">
        <f>(H224-I224)*F224</f>
        <v>2400</v>
      </c>
    </row>
    <row r="225" spans="1:10" ht="16.5" x14ac:dyDescent="0.3">
      <c r="A225" s="4">
        <v>42814</v>
      </c>
      <c r="B225" s="2" t="s">
        <v>15</v>
      </c>
      <c r="C225" s="2">
        <v>1223</v>
      </c>
      <c r="D225" s="2" t="s">
        <v>16</v>
      </c>
      <c r="E225" s="2" t="s">
        <v>22</v>
      </c>
      <c r="F225" s="2">
        <v>30</v>
      </c>
      <c r="G225" s="2">
        <v>1</v>
      </c>
      <c r="H225" s="2">
        <v>115</v>
      </c>
      <c r="I225" s="2">
        <f>IF(H225=0,H225*0%,IF(H225=35,H225*2%,IF(H225=60,H225*5%,IF(H225=100,H225*6%,IF(H225=140,H225*8%,)))))</f>
        <v>0</v>
      </c>
      <c r="J225" s="2">
        <f>(H225-I225)*F225</f>
        <v>3450</v>
      </c>
    </row>
    <row r="226" spans="1:10" ht="16.5" x14ac:dyDescent="0.3">
      <c r="A226" s="4">
        <v>42760</v>
      </c>
      <c r="B226" s="2" t="s">
        <v>15</v>
      </c>
      <c r="C226" s="2">
        <v>1224</v>
      </c>
      <c r="D226" s="2" t="s">
        <v>27</v>
      </c>
      <c r="E226" s="2" t="s">
        <v>24</v>
      </c>
      <c r="F226" s="2">
        <v>30</v>
      </c>
      <c r="G226" s="2">
        <v>1</v>
      </c>
      <c r="H226" s="2">
        <v>120</v>
      </c>
      <c r="I226" s="2">
        <f>IF(H226=0,H226*0%,IF(H226=35,H226*2%,IF(H226=60,H226*5%,IF(H226=100,H226*6%,IF(H226=140,H226*8%,)))))</f>
        <v>0</v>
      </c>
      <c r="J226" s="2">
        <f>(H226-I226)*F226</f>
        <v>3600</v>
      </c>
    </row>
    <row r="227" spans="1:10" ht="16.5" x14ac:dyDescent="0.3">
      <c r="A227" s="4">
        <v>42772</v>
      </c>
      <c r="B227" s="2" t="s">
        <v>13</v>
      </c>
      <c r="C227" s="2">
        <v>1225</v>
      </c>
      <c r="D227" s="2" t="s">
        <v>23</v>
      </c>
      <c r="E227" s="2" t="s">
        <v>25</v>
      </c>
      <c r="F227" s="2">
        <v>50</v>
      </c>
      <c r="G227" s="2">
        <v>1</v>
      </c>
      <c r="H227" s="2">
        <v>45</v>
      </c>
      <c r="I227" s="2">
        <f>IF(H227=0,H227*0%,IF(H227=35,H227*2%,IF(H227=60,H227*5%,IF(H227=100,H227*6%,IF(H227=140,H227*8%,)))))</f>
        <v>0</v>
      </c>
      <c r="J227" s="2">
        <f>(H227-I227)*F227</f>
        <v>2250</v>
      </c>
    </row>
    <row r="228" spans="1:10" ht="16.5" x14ac:dyDescent="0.3">
      <c r="A228" s="4">
        <v>42793</v>
      </c>
      <c r="B228" s="2" t="s">
        <v>15</v>
      </c>
      <c r="C228" s="2">
        <v>1226</v>
      </c>
      <c r="D228" s="2" t="s">
        <v>23</v>
      </c>
      <c r="E228" s="2" t="s">
        <v>21</v>
      </c>
      <c r="F228" s="2">
        <v>30</v>
      </c>
      <c r="G228" s="2">
        <v>1</v>
      </c>
      <c r="H228" s="2">
        <v>130</v>
      </c>
      <c r="I228" s="2">
        <f>IF(H228=0,H228*0%,IF(H228=35,H228*2%,IF(H228=60,H228*5%,IF(H228=100,H228*6%,IF(H228=140,H228*8%,)))))</f>
        <v>0</v>
      </c>
      <c r="J228" s="2">
        <f>(H228-I228)*F228</f>
        <v>3900</v>
      </c>
    </row>
    <row r="229" spans="1:10" ht="16.5" x14ac:dyDescent="0.3">
      <c r="A229" s="4">
        <v>42761</v>
      </c>
      <c r="B229" s="2" t="s">
        <v>15</v>
      </c>
      <c r="C229" s="2">
        <v>1227</v>
      </c>
      <c r="D229" s="2" t="s">
        <v>18</v>
      </c>
      <c r="E229" s="2" t="s">
        <v>22</v>
      </c>
      <c r="F229" s="2">
        <v>30</v>
      </c>
      <c r="G229" s="2">
        <v>1</v>
      </c>
      <c r="H229" s="2">
        <v>80</v>
      </c>
      <c r="I229" s="2">
        <f>IF(H229=0,H229*0%,IF(H229=35,H229*2%,IF(H229=60,H229*5%,IF(H229=100,H229*6%,IF(H229=140,H229*8%,)))))</f>
        <v>0</v>
      </c>
      <c r="J229" s="2">
        <f>(H229-I229)*F229</f>
        <v>2400</v>
      </c>
    </row>
    <row r="230" spans="1:10" ht="16.5" x14ac:dyDescent="0.3">
      <c r="A230" s="4">
        <v>42778</v>
      </c>
      <c r="B230" s="2" t="s">
        <v>13</v>
      </c>
      <c r="C230" s="2">
        <v>1228</v>
      </c>
      <c r="D230" s="2" t="s">
        <v>11</v>
      </c>
      <c r="E230" s="2" t="s">
        <v>25</v>
      </c>
      <c r="F230" s="2">
        <v>50</v>
      </c>
      <c r="G230" s="2">
        <v>1</v>
      </c>
      <c r="H230" s="2">
        <v>160</v>
      </c>
      <c r="I230" s="2">
        <f>IF(H230=0,H230*0%,IF(H230=35,H230*2%,IF(H230=60,H230*5%,IF(H230=100,H230*6%,IF(H230=140,H230*8%,)))))</f>
        <v>0</v>
      </c>
      <c r="J230" s="2">
        <f>(H230-I230)*F230</f>
        <v>8000</v>
      </c>
    </row>
    <row r="231" spans="1:10" ht="16.5" x14ac:dyDescent="0.3">
      <c r="A231" s="4">
        <v>42797</v>
      </c>
      <c r="B231" s="2" t="s">
        <v>13</v>
      </c>
      <c r="C231" s="2">
        <v>1229</v>
      </c>
      <c r="D231" s="2" t="s">
        <v>16</v>
      </c>
      <c r="E231" s="2" t="s">
        <v>20</v>
      </c>
      <c r="F231" s="2">
        <v>50</v>
      </c>
      <c r="G231" s="2">
        <v>1</v>
      </c>
      <c r="H231" s="2">
        <v>80</v>
      </c>
      <c r="I231" s="2">
        <f>IF(H231=0,H231*0%,IF(H231=35,H231*2%,IF(H231=60,H231*5%,IF(H231=100,H231*6%,IF(H231=140,H231*8%,)))))</f>
        <v>0</v>
      </c>
      <c r="J231" s="2">
        <f>(H231-I231)*F231</f>
        <v>4000</v>
      </c>
    </row>
    <row r="232" spans="1:10" ht="16.5" x14ac:dyDescent="0.3">
      <c r="A232" s="4">
        <v>42874</v>
      </c>
      <c r="B232" s="2" t="s">
        <v>13</v>
      </c>
      <c r="C232" s="2">
        <v>1230</v>
      </c>
      <c r="D232" s="2" t="s">
        <v>16</v>
      </c>
      <c r="E232" s="2" t="s">
        <v>12</v>
      </c>
      <c r="F232" s="2">
        <v>50</v>
      </c>
      <c r="G232" s="2">
        <v>1</v>
      </c>
      <c r="H232" s="2">
        <v>50</v>
      </c>
      <c r="I232" s="2">
        <f>IF(H232=0,H232*0%,IF(H232=35,H232*2%,IF(H232=60,H232*5%,IF(H232=100,H232*6%,IF(H232=140,H232*8%,)))))</f>
        <v>0</v>
      </c>
      <c r="J232" s="2">
        <f>(H232-I232)*F232</f>
        <v>2500</v>
      </c>
    </row>
    <row r="233" spans="1:10" ht="16.5" x14ac:dyDescent="0.3">
      <c r="A233" s="4">
        <v>42879</v>
      </c>
      <c r="B233" s="2" t="s">
        <v>13</v>
      </c>
      <c r="C233" s="2">
        <v>1231</v>
      </c>
      <c r="D233" s="2" t="s">
        <v>27</v>
      </c>
      <c r="E233" s="2" t="s">
        <v>17</v>
      </c>
      <c r="F233" s="2">
        <v>50</v>
      </c>
      <c r="G233" s="2">
        <v>1</v>
      </c>
      <c r="H233" s="2">
        <v>40</v>
      </c>
      <c r="I233" s="2">
        <f>IF(H233=0,H233*0%,IF(H233=35,H233*2%,IF(H233=60,H233*5%,IF(H233=100,H233*6%,IF(H233=140,H233*8%,)))))</f>
        <v>0</v>
      </c>
      <c r="J233" s="2">
        <f>(H233-I233)*F233</f>
        <v>2000</v>
      </c>
    </row>
    <row r="234" spans="1:10" ht="16.5" x14ac:dyDescent="0.3">
      <c r="A234" s="4">
        <v>42766</v>
      </c>
      <c r="B234" s="2" t="s">
        <v>13</v>
      </c>
      <c r="C234" s="2">
        <v>1232</v>
      </c>
      <c r="D234" s="2" t="s">
        <v>27</v>
      </c>
      <c r="E234" s="2" t="s">
        <v>20</v>
      </c>
      <c r="F234" s="2">
        <v>50</v>
      </c>
      <c r="G234" s="2">
        <v>1</v>
      </c>
      <c r="H234" s="2">
        <v>75</v>
      </c>
      <c r="I234" s="2">
        <f>IF(H234=0,H234*0%,IF(H234=35,H234*2%,IF(H234=60,H234*5%,IF(H234=100,H234*6%,IF(H234=140,H234*8%,)))))</f>
        <v>0</v>
      </c>
      <c r="J234" s="2">
        <f>(H234-I234)*F234</f>
        <v>3750</v>
      </c>
    </row>
    <row r="235" spans="1:10" ht="16.5" x14ac:dyDescent="0.3">
      <c r="A235" s="4">
        <v>42828</v>
      </c>
      <c r="B235" s="2" t="s">
        <v>15</v>
      </c>
      <c r="C235" s="2">
        <v>1233</v>
      </c>
      <c r="D235" s="2" t="s">
        <v>14</v>
      </c>
      <c r="E235" s="2" t="s">
        <v>24</v>
      </c>
      <c r="F235" s="2">
        <v>30</v>
      </c>
      <c r="G235" s="2">
        <v>1</v>
      </c>
      <c r="H235" s="2">
        <v>110</v>
      </c>
      <c r="I235" s="2">
        <f>IF(H235=0,H235*0%,IF(H235=35,H235*2%,IF(H235=60,H235*5%,IF(H235=100,H235*6%,IF(H235=140,H235*8%,)))))</f>
        <v>0</v>
      </c>
      <c r="J235" s="2">
        <f>(H235-I235)*F235</f>
        <v>3300</v>
      </c>
    </row>
    <row r="236" spans="1:10" ht="16.5" x14ac:dyDescent="0.3">
      <c r="A236" s="4">
        <v>42747</v>
      </c>
      <c r="B236" s="2" t="s">
        <v>15</v>
      </c>
      <c r="C236" s="2">
        <v>1234</v>
      </c>
      <c r="D236" s="2" t="s">
        <v>27</v>
      </c>
      <c r="E236" s="2" t="s">
        <v>24</v>
      </c>
      <c r="F236" s="2">
        <v>30</v>
      </c>
      <c r="G236" s="2">
        <v>1</v>
      </c>
      <c r="H236" s="2">
        <v>80</v>
      </c>
      <c r="I236" s="2">
        <f>IF(H236=0,H236*0%,IF(H236=35,H236*2%,IF(H236=60,H236*5%,IF(H236=100,H236*6%,IF(H236=140,H236*8%,)))))</f>
        <v>0</v>
      </c>
      <c r="J236" s="2">
        <f>(H236-I236)*F236</f>
        <v>2400</v>
      </c>
    </row>
    <row r="237" spans="1:10" ht="16.5" x14ac:dyDescent="0.3">
      <c r="A237" s="4">
        <v>42833</v>
      </c>
      <c r="B237" s="2" t="s">
        <v>15</v>
      </c>
      <c r="C237" s="2">
        <v>1235</v>
      </c>
      <c r="D237" s="2" t="s">
        <v>14</v>
      </c>
      <c r="E237" s="2" t="s">
        <v>20</v>
      </c>
      <c r="F237" s="2">
        <v>30</v>
      </c>
      <c r="G237" s="2">
        <v>1</v>
      </c>
      <c r="H237" s="2">
        <v>40</v>
      </c>
      <c r="I237" s="2">
        <f>IF(H237=0,H237*0%,IF(H237=35,H237*2%,IF(H237=60,H237*5%,IF(H237=100,H237*6%,IF(H237=140,H237*8%,)))))</f>
        <v>0</v>
      </c>
      <c r="J237" s="2">
        <f>(H237-I237)*F237</f>
        <v>1200</v>
      </c>
    </row>
    <row r="238" spans="1:10" ht="16.5" x14ac:dyDescent="0.3">
      <c r="A238" s="4">
        <v>42913</v>
      </c>
      <c r="B238" s="2" t="s">
        <v>15</v>
      </c>
      <c r="C238" s="2">
        <v>1236</v>
      </c>
      <c r="D238" s="2" t="s">
        <v>27</v>
      </c>
      <c r="E238" s="2" t="s">
        <v>17</v>
      </c>
      <c r="F238" s="2">
        <v>30</v>
      </c>
      <c r="G238" s="2">
        <v>1</v>
      </c>
      <c r="H238" s="2">
        <v>45</v>
      </c>
      <c r="I238" s="2">
        <f>IF(H238=0,H238*0%,IF(H238=35,H238*2%,IF(H238=60,H238*5%,IF(H238=100,H238*6%,IF(H238=140,H238*8%,)))))</f>
        <v>0</v>
      </c>
      <c r="J238" s="2">
        <f>(H238-I238)*F238</f>
        <v>1350</v>
      </c>
    </row>
    <row r="239" spans="1:10" ht="16.5" x14ac:dyDescent="0.3">
      <c r="A239" s="4">
        <v>42834</v>
      </c>
      <c r="B239" s="2" t="s">
        <v>10</v>
      </c>
      <c r="C239" s="2">
        <v>1237</v>
      </c>
      <c r="D239" s="2" t="s">
        <v>14</v>
      </c>
      <c r="E239" s="2" t="s">
        <v>22</v>
      </c>
      <c r="F239" s="2">
        <v>70</v>
      </c>
      <c r="G239" s="2">
        <v>1</v>
      </c>
      <c r="H239" s="2">
        <v>120</v>
      </c>
      <c r="I239" s="2">
        <f>IF(H239=0,H239*0%,IF(H239=35,H239*2%,IF(H239=60,H239*5%,IF(H239=100,H239*6%,IF(H239=140,H239*8%,)))))</f>
        <v>0</v>
      </c>
      <c r="J239" s="2">
        <f>(H239-I239)*F239</f>
        <v>8400</v>
      </c>
    </row>
    <row r="240" spans="1:10" ht="16.5" x14ac:dyDescent="0.3">
      <c r="A240" s="4">
        <v>42907</v>
      </c>
      <c r="B240" s="2" t="s">
        <v>13</v>
      </c>
      <c r="C240" s="2">
        <v>1238</v>
      </c>
      <c r="D240" s="2" t="s">
        <v>27</v>
      </c>
      <c r="E240" s="2" t="s">
        <v>24</v>
      </c>
      <c r="F240" s="2">
        <v>50</v>
      </c>
      <c r="G240" s="2">
        <v>1</v>
      </c>
      <c r="H240" s="2">
        <v>115</v>
      </c>
      <c r="I240" s="2">
        <f>IF(H240=0,H240*0%,IF(H240=35,H240*2%,IF(H240=60,H240*5%,IF(H240=100,H240*6%,IF(H240=140,H240*8%,)))))</f>
        <v>0</v>
      </c>
      <c r="J240" s="2">
        <f>(H240-I240)*F240</f>
        <v>5750</v>
      </c>
    </row>
    <row r="241" spans="1:10" ht="16.5" x14ac:dyDescent="0.3">
      <c r="A241" s="4">
        <v>42800</v>
      </c>
      <c r="B241" s="2" t="s">
        <v>15</v>
      </c>
      <c r="C241" s="2">
        <v>1239</v>
      </c>
      <c r="D241" s="2" t="s">
        <v>27</v>
      </c>
      <c r="E241" s="2" t="s">
        <v>25</v>
      </c>
      <c r="F241" s="2">
        <v>30</v>
      </c>
      <c r="G241" s="2">
        <v>1</v>
      </c>
      <c r="H241" s="2">
        <v>80</v>
      </c>
      <c r="I241" s="2">
        <f>IF(H241=0,H241*0%,IF(H241=35,H241*2%,IF(H241=60,H241*5%,IF(H241=100,H241*6%,IF(H241=140,H241*8%,)))))</f>
        <v>0</v>
      </c>
      <c r="J241" s="2">
        <f>(H241-I241)*F241</f>
        <v>2400</v>
      </c>
    </row>
    <row r="242" spans="1:10" ht="16.5" x14ac:dyDescent="0.3">
      <c r="A242" s="4">
        <v>42816</v>
      </c>
      <c r="B242" s="2" t="s">
        <v>10</v>
      </c>
      <c r="C242" s="2">
        <v>1240</v>
      </c>
      <c r="D242" s="2" t="s">
        <v>18</v>
      </c>
      <c r="E242" s="2" t="s">
        <v>26</v>
      </c>
      <c r="F242" s="2">
        <v>70</v>
      </c>
      <c r="G242" s="2">
        <v>1</v>
      </c>
      <c r="H242" s="2">
        <v>160</v>
      </c>
      <c r="I242" s="2">
        <f>IF(H242=0,H242*0%,IF(H242=35,H242*2%,IF(H242=60,H242*5%,IF(H242=100,H242*6%,IF(H242=140,H242*8%,)))))</f>
        <v>0</v>
      </c>
      <c r="J242" s="2">
        <f>(H242-I242)*F242</f>
        <v>11200</v>
      </c>
    </row>
    <row r="243" spans="1:10" ht="16.5" x14ac:dyDescent="0.3">
      <c r="A243" s="4">
        <v>42785</v>
      </c>
      <c r="B243" s="2" t="s">
        <v>10</v>
      </c>
      <c r="C243" s="2">
        <v>1241</v>
      </c>
      <c r="D243" s="2" t="s">
        <v>14</v>
      </c>
      <c r="E243" s="2" t="s">
        <v>19</v>
      </c>
      <c r="F243" s="2">
        <v>70</v>
      </c>
      <c r="G243" s="2">
        <v>1</v>
      </c>
      <c r="H243" s="2">
        <v>45</v>
      </c>
      <c r="I243" s="2">
        <f>IF(H243=0,H243*0%,IF(H243=35,H243*2%,IF(H243=60,H243*5%,IF(H243=100,H243*6%,IF(H243=140,H243*8%,)))))</f>
        <v>0</v>
      </c>
      <c r="J243" s="2">
        <f>(H243-I243)*F243</f>
        <v>3150</v>
      </c>
    </row>
    <row r="244" spans="1:10" ht="16.5" x14ac:dyDescent="0.3">
      <c r="A244" s="4">
        <v>42789</v>
      </c>
      <c r="B244" s="2" t="s">
        <v>10</v>
      </c>
      <c r="C244" s="2">
        <v>1242</v>
      </c>
      <c r="D244" s="2" t="s">
        <v>14</v>
      </c>
      <c r="E244" s="2" t="s">
        <v>19</v>
      </c>
      <c r="F244" s="2">
        <v>70</v>
      </c>
      <c r="G244" s="2">
        <v>1</v>
      </c>
      <c r="H244" s="2">
        <v>80</v>
      </c>
      <c r="I244" s="2">
        <f>IF(H244=0,H244*0%,IF(H244=35,H244*2%,IF(H244=60,H244*5%,IF(H244=100,H244*6%,IF(H244=140,H244*8%,)))))</f>
        <v>0</v>
      </c>
      <c r="J244" s="2">
        <f>(H244-I244)*F244</f>
        <v>5600</v>
      </c>
    </row>
    <row r="245" spans="1:10" ht="16.5" x14ac:dyDescent="0.3">
      <c r="A245" s="4">
        <v>42750</v>
      </c>
      <c r="B245" s="2" t="s">
        <v>15</v>
      </c>
      <c r="C245" s="2">
        <v>1243</v>
      </c>
      <c r="D245" s="2" t="s">
        <v>23</v>
      </c>
      <c r="E245" s="2" t="s">
        <v>25</v>
      </c>
      <c r="F245" s="2">
        <v>30</v>
      </c>
      <c r="G245" s="2">
        <v>1</v>
      </c>
      <c r="H245" s="2">
        <v>80</v>
      </c>
      <c r="I245" s="2">
        <f>IF(H245=0,H245*0%,IF(H245=35,H245*2%,IF(H245=60,H245*5%,IF(H245=100,H245*6%,IF(H245=140,H245*8%,)))))</f>
        <v>0</v>
      </c>
      <c r="J245" s="2">
        <f>(H245-I245)*F245</f>
        <v>2400</v>
      </c>
    </row>
    <row r="246" spans="1:10" ht="16.5" x14ac:dyDescent="0.3">
      <c r="A246" s="4">
        <v>42818</v>
      </c>
      <c r="B246" s="2" t="s">
        <v>13</v>
      </c>
      <c r="C246" s="2">
        <v>1244</v>
      </c>
      <c r="D246" s="2" t="s">
        <v>23</v>
      </c>
      <c r="E246" s="2" t="s">
        <v>20</v>
      </c>
      <c r="F246" s="2">
        <v>50</v>
      </c>
      <c r="G246" s="2">
        <v>1</v>
      </c>
      <c r="H246" s="2">
        <v>50</v>
      </c>
      <c r="I246" s="2">
        <f>IF(H246=0,H246*0%,IF(H246=35,H246*2%,IF(H246=60,H246*5%,IF(H246=100,H246*6%,IF(H246=140,H246*8%,)))))</f>
        <v>0</v>
      </c>
      <c r="J246" s="2">
        <f>(H246-I246)*F246</f>
        <v>2500</v>
      </c>
    </row>
    <row r="247" spans="1:10" ht="16.5" x14ac:dyDescent="0.3">
      <c r="A247" s="4">
        <v>42806</v>
      </c>
      <c r="B247" s="2" t="s">
        <v>10</v>
      </c>
      <c r="C247" s="2">
        <v>1245</v>
      </c>
      <c r="D247" s="2" t="s">
        <v>14</v>
      </c>
      <c r="E247" s="2" t="s">
        <v>12</v>
      </c>
      <c r="F247" s="2">
        <v>70</v>
      </c>
      <c r="G247" s="2">
        <v>1</v>
      </c>
      <c r="H247" s="2">
        <v>130</v>
      </c>
      <c r="I247" s="2">
        <f>IF(H247=0,H247*0%,IF(H247=35,H247*2%,IF(H247=60,H247*5%,IF(H247=100,H247*6%,IF(H247=140,H247*8%,)))))</f>
        <v>0</v>
      </c>
      <c r="J247" s="2">
        <f>(H247-I247)*F247</f>
        <v>9100</v>
      </c>
    </row>
    <row r="248" spans="1:10" ht="16.5" x14ac:dyDescent="0.3">
      <c r="A248" s="4">
        <v>42806</v>
      </c>
      <c r="B248" s="2" t="s">
        <v>10</v>
      </c>
      <c r="C248" s="2">
        <v>1246</v>
      </c>
      <c r="D248" s="2" t="s">
        <v>14</v>
      </c>
      <c r="E248" s="2" t="s">
        <v>25</v>
      </c>
      <c r="F248" s="2">
        <v>70</v>
      </c>
      <c r="G248" s="2">
        <v>1</v>
      </c>
      <c r="H248" s="2">
        <v>45</v>
      </c>
      <c r="I248" s="2">
        <f>IF(H248=0,H248*0%,IF(H248=35,H248*2%,IF(H248=60,H248*5%,IF(H248=100,H248*6%,IF(H248=140,H248*8%,)))))</f>
        <v>0</v>
      </c>
      <c r="J248" s="2">
        <f>(H248-I248)*F248</f>
        <v>3150</v>
      </c>
    </row>
    <row r="249" spans="1:10" ht="16.5" x14ac:dyDescent="0.3">
      <c r="A249" s="4">
        <v>42767</v>
      </c>
      <c r="B249" s="2" t="s">
        <v>10</v>
      </c>
      <c r="C249" s="2">
        <v>1247</v>
      </c>
      <c r="D249" s="2" t="s">
        <v>27</v>
      </c>
      <c r="E249" s="2" t="s">
        <v>25</v>
      </c>
      <c r="F249" s="2">
        <v>70</v>
      </c>
      <c r="G249" s="2">
        <v>1</v>
      </c>
      <c r="H249" s="2">
        <v>90</v>
      </c>
      <c r="I249" s="2">
        <f>IF(H249=0,H249*0%,IF(H249=35,H249*2%,IF(H249=60,H249*5%,IF(H249=100,H249*6%,IF(H249=140,H249*8%,)))))</f>
        <v>0</v>
      </c>
      <c r="J249" s="2">
        <f>(H249-I249)*F249</f>
        <v>6300</v>
      </c>
    </row>
    <row r="250" spans="1:10" ht="16.5" x14ac:dyDescent="0.3">
      <c r="A250" s="4">
        <v>42782</v>
      </c>
      <c r="B250" s="2" t="s">
        <v>13</v>
      </c>
      <c r="C250" s="2">
        <v>1248</v>
      </c>
      <c r="D250" s="2" t="s">
        <v>23</v>
      </c>
      <c r="E250" s="2" t="s">
        <v>17</v>
      </c>
      <c r="F250" s="2">
        <v>50</v>
      </c>
      <c r="G250" s="2">
        <v>1</v>
      </c>
      <c r="H250" s="2">
        <v>160</v>
      </c>
      <c r="I250" s="2">
        <f>IF(H250=0,H250*0%,IF(H250=35,H250*2%,IF(H250=60,H250*5%,IF(H250=100,H250*6%,IF(H250=140,H250*8%,)))))</f>
        <v>0</v>
      </c>
      <c r="J250" s="2">
        <f>(H250-I250)*F250</f>
        <v>8000</v>
      </c>
    </row>
    <row r="251" spans="1:10" ht="16.5" x14ac:dyDescent="0.3">
      <c r="A251" s="4">
        <v>42834</v>
      </c>
      <c r="B251" s="2" t="s">
        <v>15</v>
      </c>
      <c r="C251" s="2">
        <v>1249</v>
      </c>
      <c r="D251" s="2" t="s">
        <v>23</v>
      </c>
      <c r="E251" s="2" t="s">
        <v>20</v>
      </c>
      <c r="F251" s="2">
        <v>30</v>
      </c>
      <c r="G251" s="2">
        <v>1</v>
      </c>
      <c r="H251" s="2">
        <v>100</v>
      </c>
      <c r="I251" s="2">
        <f>IF(H251=0,H251*0%,IF(H251=35,H251*2%,IF(H251=60,H251*5%,IF(H251=100,H251*6%,IF(H251=140,H251*8%,)))))</f>
        <v>6</v>
      </c>
      <c r="J251" s="2">
        <f>(H251-I251)*F251</f>
        <v>2820</v>
      </c>
    </row>
    <row r="252" spans="1:10" ht="16.5" x14ac:dyDescent="0.3">
      <c r="A252" s="4">
        <v>42907</v>
      </c>
      <c r="B252" s="2" t="s">
        <v>13</v>
      </c>
      <c r="C252" s="2">
        <v>1250</v>
      </c>
      <c r="D252" s="2" t="s">
        <v>11</v>
      </c>
      <c r="E252" s="2" t="s">
        <v>28</v>
      </c>
      <c r="F252" s="2">
        <v>50</v>
      </c>
      <c r="G252" s="2">
        <v>1</v>
      </c>
      <c r="H252" s="2">
        <v>130</v>
      </c>
      <c r="I252" s="2">
        <f>IF(H252=0,H252*0%,IF(H252=35,H252*2%,IF(H252=60,H252*5%,IF(H252=100,H252*6%,IF(H252=140,H252*8%,)))))</f>
        <v>0</v>
      </c>
      <c r="J252" s="2">
        <f>(H252-I252)*F252</f>
        <v>6500</v>
      </c>
    </row>
    <row r="253" spans="1:10" ht="16.5" x14ac:dyDescent="0.3">
      <c r="A253" s="4">
        <v>42747</v>
      </c>
      <c r="B253" s="2" t="s">
        <v>10</v>
      </c>
      <c r="C253" s="2">
        <v>1251</v>
      </c>
      <c r="D253" s="2" t="s">
        <v>23</v>
      </c>
      <c r="E253" s="2" t="s">
        <v>22</v>
      </c>
      <c r="F253" s="2">
        <v>70</v>
      </c>
      <c r="G253" s="2">
        <v>1</v>
      </c>
      <c r="H253" s="2">
        <v>80</v>
      </c>
      <c r="I253" s="2">
        <f>IF(H253=0,H253*0%,IF(H253=35,H253*2%,IF(H253=60,H253*5%,IF(H253=100,H253*6%,IF(H253=140,H253*8%,)))))</f>
        <v>0</v>
      </c>
      <c r="J253" s="2">
        <f>(H253-I253)*F253</f>
        <v>5600</v>
      </c>
    </row>
    <row r="254" spans="1:10" ht="16.5" x14ac:dyDescent="0.3">
      <c r="A254" s="4">
        <v>42848</v>
      </c>
      <c r="B254" s="2" t="s">
        <v>15</v>
      </c>
      <c r="C254" s="2">
        <v>1252</v>
      </c>
      <c r="D254" s="2" t="s">
        <v>16</v>
      </c>
      <c r="E254" s="2" t="s">
        <v>12</v>
      </c>
      <c r="F254" s="2">
        <v>30</v>
      </c>
      <c r="G254" s="2">
        <v>1</v>
      </c>
      <c r="H254" s="2">
        <v>80</v>
      </c>
      <c r="I254" s="2">
        <f>IF(H254=0,H254*0%,IF(H254=35,H254*2%,IF(H254=60,H254*5%,IF(H254=100,H254*6%,IF(H254=140,H254*8%,)))))</f>
        <v>0</v>
      </c>
      <c r="J254" s="2">
        <f>(H254-I254)*F254</f>
        <v>2400</v>
      </c>
    </row>
    <row r="255" spans="1:10" ht="16.5" x14ac:dyDescent="0.3">
      <c r="A255" s="4">
        <v>42894</v>
      </c>
      <c r="B255" s="2" t="s">
        <v>15</v>
      </c>
      <c r="C255" s="2">
        <v>1253</v>
      </c>
      <c r="D255" s="2" t="s">
        <v>14</v>
      </c>
      <c r="E255" s="2" t="s">
        <v>24</v>
      </c>
      <c r="F255" s="2">
        <v>30</v>
      </c>
      <c r="G255" s="2">
        <v>1</v>
      </c>
      <c r="H255" s="2">
        <v>130</v>
      </c>
      <c r="I255" s="2">
        <f>IF(H255=0,H255*0%,IF(H255=35,H255*2%,IF(H255=60,H255*5%,IF(H255=100,H255*6%,IF(H255=140,H255*8%,)))))</f>
        <v>0</v>
      </c>
      <c r="J255" s="2">
        <f>(H255-I255)*F255</f>
        <v>3900</v>
      </c>
    </row>
    <row r="256" spans="1:10" ht="16.5" x14ac:dyDescent="0.3">
      <c r="A256" s="4">
        <v>42916</v>
      </c>
      <c r="B256" s="2" t="s">
        <v>15</v>
      </c>
      <c r="C256" s="2">
        <v>1254</v>
      </c>
      <c r="D256" s="2" t="s">
        <v>11</v>
      </c>
      <c r="E256" s="2" t="s">
        <v>22</v>
      </c>
      <c r="F256" s="2">
        <v>30</v>
      </c>
      <c r="G256" s="2">
        <v>1</v>
      </c>
      <c r="H256" s="2">
        <v>90</v>
      </c>
      <c r="I256" s="2">
        <f>IF(H256=0,H256*0%,IF(H256=35,H256*2%,IF(H256=60,H256*5%,IF(H256=100,H256*6%,IF(H256=140,H256*8%,)))))</f>
        <v>0</v>
      </c>
      <c r="J256" s="2">
        <f>(H256-I256)*F256</f>
        <v>2700</v>
      </c>
    </row>
    <row r="257" spans="1:10" ht="16.5" x14ac:dyDescent="0.3">
      <c r="A257" s="4">
        <v>42815</v>
      </c>
      <c r="B257" s="2" t="s">
        <v>15</v>
      </c>
      <c r="C257" s="2">
        <v>1255</v>
      </c>
      <c r="D257" s="2" t="s">
        <v>11</v>
      </c>
      <c r="E257" s="2" t="s">
        <v>24</v>
      </c>
      <c r="F257" s="2">
        <v>30</v>
      </c>
      <c r="G257" s="2">
        <v>1</v>
      </c>
      <c r="H257" s="2">
        <v>45</v>
      </c>
      <c r="I257" s="2">
        <f>IF(H257=0,H257*0%,IF(H257=35,H257*2%,IF(H257=60,H257*5%,IF(H257=100,H257*6%,IF(H257=140,H257*8%,)))))</f>
        <v>0</v>
      </c>
      <c r="J257" s="2">
        <f>(H257-I257)*F257</f>
        <v>1350</v>
      </c>
    </row>
    <row r="258" spans="1:10" ht="16.5" x14ac:dyDescent="0.3">
      <c r="A258" s="4">
        <v>42905</v>
      </c>
      <c r="B258" s="2" t="s">
        <v>13</v>
      </c>
      <c r="C258" s="2">
        <v>1256</v>
      </c>
      <c r="D258" s="2" t="s">
        <v>16</v>
      </c>
      <c r="E258" s="2" t="s">
        <v>25</v>
      </c>
      <c r="F258" s="2">
        <v>50</v>
      </c>
      <c r="G258" s="2">
        <v>1</v>
      </c>
      <c r="H258" s="2">
        <v>160</v>
      </c>
      <c r="I258" s="2">
        <f>IF(H258=0,H258*0%,IF(H258=35,H258*2%,IF(H258=60,H258*5%,IF(H258=100,H258*6%,IF(H258=140,H258*8%,)))))</f>
        <v>0</v>
      </c>
      <c r="J258" s="2">
        <f>(H258-I258)*F258</f>
        <v>8000</v>
      </c>
    </row>
    <row r="259" spans="1:10" ht="16.5" x14ac:dyDescent="0.3">
      <c r="A259" s="4">
        <v>42814</v>
      </c>
      <c r="B259" s="2" t="s">
        <v>15</v>
      </c>
      <c r="C259" s="2">
        <v>1257</v>
      </c>
      <c r="D259" s="2" t="s">
        <v>27</v>
      </c>
      <c r="E259" s="2" t="s">
        <v>28</v>
      </c>
      <c r="F259" s="2">
        <v>30</v>
      </c>
      <c r="G259" s="2">
        <v>1</v>
      </c>
      <c r="H259" s="2">
        <v>60</v>
      </c>
      <c r="I259" s="2">
        <f>IF(H259=0,H259*0%,IF(H259=35,H259*2%,IF(H259=60,H259*5%,IF(H259=100,H259*6%,IF(H259=140,H259*8%,)))))</f>
        <v>3</v>
      </c>
      <c r="J259" s="2">
        <f>(H259-I259)*F259</f>
        <v>1710</v>
      </c>
    </row>
    <row r="260" spans="1:10" ht="16.5" x14ac:dyDescent="0.3">
      <c r="A260" s="4">
        <v>42830</v>
      </c>
      <c r="B260" s="2" t="s">
        <v>13</v>
      </c>
      <c r="C260" s="2">
        <v>1258</v>
      </c>
      <c r="D260" s="2" t="s">
        <v>18</v>
      </c>
      <c r="E260" s="2" t="s">
        <v>21</v>
      </c>
      <c r="F260" s="2">
        <v>50</v>
      </c>
      <c r="G260" s="2">
        <v>1</v>
      </c>
      <c r="H260" s="2">
        <v>60</v>
      </c>
      <c r="I260" s="2">
        <f>IF(H260=0,H260*0%,IF(H260=35,H260*2%,IF(H260=60,H260*5%,IF(H260=100,H260*6%,IF(H260=140,H260*8%,)))))</f>
        <v>3</v>
      </c>
      <c r="J260" s="2">
        <f>(H260-I260)*F260</f>
        <v>2850</v>
      </c>
    </row>
    <row r="261" spans="1:10" ht="16.5" x14ac:dyDescent="0.3">
      <c r="A261" s="4">
        <v>42814</v>
      </c>
      <c r="B261" s="2" t="s">
        <v>13</v>
      </c>
      <c r="C261" s="2">
        <v>1259</v>
      </c>
      <c r="D261" s="2" t="s">
        <v>16</v>
      </c>
      <c r="E261" s="2" t="s">
        <v>28</v>
      </c>
      <c r="F261" s="2">
        <v>50</v>
      </c>
      <c r="G261" s="2">
        <v>1</v>
      </c>
      <c r="H261" s="2">
        <v>80</v>
      </c>
      <c r="I261" s="2">
        <f>IF(H261=0,H261*0%,IF(H261=35,H261*2%,IF(H261=60,H261*5%,IF(H261=100,H261*6%,IF(H261=140,H261*8%,)))))</f>
        <v>0</v>
      </c>
      <c r="J261" s="2">
        <f>(H261-I261)*F261</f>
        <v>4000</v>
      </c>
    </row>
    <row r="262" spans="1:10" ht="16.5" x14ac:dyDescent="0.3">
      <c r="A262" s="4">
        <v>42855</v>
      </c>
      <c r="B262" s="2" t="s">
        <v>13</v>
      </c>
      <c r="C262" s="2">
        <v>1260</v>
      </c>
      <c r="D262" s="2" t="s">
        <v>18</v>
      </c>
      <c r="E262" s="2" t="s">
        <v>26</v>
      </c>
      <c r="F262" s="2">
        <v>50</v>
      </c>
      <c r="G262" s="2">
        <v>1</v>
      </c>
      <c r="H262" s="2">
        <v>120</v>
      </c>
      <c r="I262" s="2">
        <f>IF(H262=0,H262*0%,IF(H262=35,H262*2%,IF(H262=60,H262*5%,IF(H262=100,H262*6%,IF(H262=140,H262*8%,)))))</f>
        <v>0</v>
      </c>
      <c r="J262" s="2">
        <f>(H262-I262)*F262</f>
        <v>6000</v>
      </c>
    </row>
    <row r="263" spans="1:10" ht="16.5" x14ac:dyDescent="0.3">
      <c r="A263" s="4">
        <v>42906</v>
      </c>
      <c r="B263" s="2" t="s">
        <v>15</v>
      </c>
      <c r="C263" s="2">
        <v>1261</v>
      </c>
      <c r="D263" s="2" t="s">
        <v>18</v>
      </c>
      <c r="E263" s="2" t="s">
        <v>12</v>
      </c>
      <c r="F263" s="2">
        <v>30</v>
      </c>
      <c r="G263" s="2">
        <v>1</v>
      </c>
      <c r="H263" s="2">
        <v>40</v>
      </c>
      <c r="I263" s="2">
        <f>IF(H263=0,H263*0%,IF(H263=35,H263*2%,IF(H263=60,H263*5%,IF(H263=100,H263*6%,IF(H263=140,H263*8%,)))))</f>
        <v>0</v>
      </c>
      <c r="J263" s="2">
        <f>(H263-I263)*F263</f>
        <v>1200</v>
      </c>
    </row>
    <row r="264" spans="1:10" ht="16.5" x14ac:dyDescent="0.3">
      <c r="A264" s="4">
        <v>42891</v>
      </c>
      <c r="B264" s="2" t="s">
        <v>13</v>
      </c>
      <c r="C264" s="2">
        <v>1262</v>
      </c>
      <c r="D264" s="2" t="s">
        <v>14</v>
      </c>
      <c r="E264" s="2" t="s">
        <v>19</v>
      </c>
      <c r="F264" s="2">
        <v>50</v>
      </c>
      <c r="G264" s="2">
        <v>1</v>
      </c>
      <c r="H264" s="2">
        <v>50</v>
      </c>
      <c r="I264" s="2">
        <f>IF(H264=0,H264*0%,IF(H264=35,H264*2%,IF(H264=60,H264*5%,IF(H264=100,H264*6%,IF(H264=140,H264*8%,)))))</f>
        <v>0</v>
      </c>
      <c r="J264" s="2">
        <f>(H264-I264)*F264</f>
        <v>2500</v>
      </c>
    </row>
    <row r="265" spans="1:10" ht="16.5" x14ac:dyDescent="0.3">
      <c r="A265" s="4">
        <v>42861</v>
      </c>
      <c r="B265" s="2" t="s">
        <v>15</v>
      </c>
      <c r="C265" s="2">
        <v>1263</v>
      </c>
      <c r="D265" s="2" t="s">
        <v>14</v>
      </c>
      <c r="E265" s="2" t="s">
        <v>25</v>
      </c>
      <c r="F265" s="2">
        <v>30</v>
      </c>
      <c r="G265" s="2">
        <v>1</v>
      </c>
      <c r="H265" s="2">
        <v>32</v>
      </c>
      <c r="I265" s="2">
        <f>IF(H265=0,H265*0%,IF(H265=35,H265*2%,IF(H265=60,H265*5%,IF(H265=100,H265*6%,IF(H265=140,H265*8%,)))))</f>
        <v>0</v>
      </c>
      <c r="J265" s="2">
        <f>(H265-I265)*F265</f>
        <v>960</v>
      </c>
    </row>
    <row r="266" spans="1:10" ht="16.5" x14ac:dyDescent="0.3">
      <c r="A266" s="4">
        <v>42897</v>
      </c>
      <c r="B266" s="2" t="s">
        <v>15</v>
      </c>
      <c r="C266" s="2">
        <v>1264</v>
      </c>
      <c r="D266" s="2" t="s">
        <v>18</v>
      </c>
      <c r="E266" s="2" t="s">
        <v>24</v>
      </c>
      <c r="F266" s="2">
        <v>30</v>
      </c>
      <c r="G266" s="2">
        <v>1</v>
      </c>
      <c r="H266" s="2">
        <v>75</v>
      </c>
      <c r="I266" s="2">
        <f>IF(H266=0,H266*0%,IF(H266=35,H266*2%,IF(H266=60,H266*5%,IF(H266=100,H266*6%,IF(H266=140,H266*8%,)))))</f>
        <v>0</v>
      </c>
      <c r="J266" s="2">
        <f>(H266-I266)*F266</f>
        <v>2250</v>
      </c>
    </row>
    <row r="267" spans="1:10" ht="16.5" x14ac:dyDescent="0.3">
      <c r="A267" s="4">
        <v>42779</v>
      </c>
      <c r="B267" s="2" t="s">
        <v>15</v>
      </c>
      <c r="C267" s="2">
        <v>1265</v>
      </c>
      <c r="D267" s="2" t="s">
        <v>11</v>
      </c>
      <c r="E267" s="2" t="s">
        <v>22</v>
      </c>
      <c r="F267" s="2">
        <v>30</v>
      </c>
      <c r="G267" s="2">
        <v>1</v>
      </c>
      <c r="H267" s="2">
        <v>105</v>
      </c>
      <c r="I267" s="2">
        <f>IF(H267=0,H267*0%,IF(H267=35,H267*2%,IF(H267=60,H267*5%,IF(H267=100,H267*6%,IF(H267=140,H267*8%,)))))</f>
        <v>0</v>
      </c>
      <c r="J267" s="2">
        <f>(H267-I267)*F267</f>
        <v>3150</v>
      </c>
    </row>
    <row r="268" spans="1:10" ht="16.5" x14ac:dyDescent="0.3">
      <c r="A268" s="4">
        <v>42745</v>
      </c>
      <c r="B268" s="2" t="s">
        <v>13</v>
      </c>
      <c r="C268" s="2">
        <v>1266</v>
      </c>
      <c r="D268" s="2" t="s">
        <v>14</v>
      </c>
      <c r="E268" s="2" t="s">
        <v>17</v>
      </c>
      <c r="F268" s="2">
        <v>50</v>
      </c>
      <c r="G268" s="2">
        <v>1</v>
      </c>
      <c r="H268" s="2">
        <v>80</v>
      </c>
      <c r="I268" s="2">
        <f>IF(H268=0,H268*0%,IF(H268=35,H268*2%,IF(H268=60,H268*5%,IF(H268=100,H268*6%,IF(H268=140,H268*8%,)))))</f>
        <v>0</v>
      </c>
      <c r="J268" s="2">
        <f>(H268-I268)*F268</f>
        <v>4000</v>
      </c>
    </row>
    <row r="269" spans="1:10" ht="16.5" x14ac:dyDescent="0.3">
      <c r="A269" s="4">
        <v>42824</v>
      </c>
      <c r="B269" s="2" t="s">
        <v>10</v>
      </c>
      <c r="C269" s="2">
        <v>1267</v>
      </c>
      <c r="D269" s="2" t="s">
        <v>14</v>
      </c>
      <c r="E269" s="2" t="s">
        <v>12</v>
      </c>
      <c r="F269" s="2">
        <v>70</v>
      </c>
      <c r="G269" s="2">
        <v>1</v>
      </c>
      <c r="H269" s="2">
        <v>45</v>
      </c>
      <c r="I269" s="2">
        <f>IF(H269=0,H269*0%,IF(H269=35,H269*2%,IF(H269=60,H269*5%,IF(H269=100,H269*6%,IF(H269=140,H269*8%,)))))</f>
        <v>0</v>
      </c>
      <c r="J269" s="2">
        <f>(H269-I269)*F269</f>
        <v>3150</v>
      </c>
    </row>
    <row r="270" spans="1:10" ht="16.5" x14ac:dyDescent="0.3">
      <c r="A270" s="4">
        <v>42814</v>
      </c>
      <c r="B270" s="2" t="s">
        <v>13</v>
      </c>
      <c r="C270" s="2">
        <v>1268</v>
      </c>
      <c r="D270" s="2" t="s">
        <v>18</v>
      </c>
      <c r="E270" s="2" t="s">
        <v>17</v>
      </c>
      <c r="F270" s="2">
        <v>50</v>
      </c>
      <c r="G270" s="2">
        <v>1</v>
      </c>
      <c r="H270" s="2">
        <v>130</v>
      </c>
      <c r="I270" s="2">
        <f>IF(H270=0,H270*0%,IF(H270=35,H270*2%,IF(H270=60,H270*5%,IF(H270=100,H270*6%,IF(H270=140,H270*8%,)))))</f>
        <v>0</v>
      </c>
      <c r="J270" s="2">
        <f>(H270-I270)*F270</f>
        <v>6500</v>
      </c>
    </row>
    <row r="271" spans="1:10" ht="16.5" x14ac:dyDescent="0.3">
      <c r="A271" s="4">
        <v>42853</v>
      </c>
      <c r="B271" s="2" t="s">
        <v>10</v>
      </c>
      <c r="C271" s="2">
        <v>1269</v>
      </c>
      <c r="D271" s="2" t="s">
        <v>23</v>
      </c>
      <c r="E271" s="2" t="s">
        <v>20</v>
      </c>
      <c r="F271" s="2">
        <v>70</v>
      </c>
      <c r="G271" s="2">
        <v>3</v>
      </c>
      <c r="H271" s="2">
        <v>90</v>
      </c>
      <c r="I271" s="2">
        <f>IF(H271=0,H271*0%,IF(H271=35,H271*2%,IF(H271=60,H271*5%,IF(H271=100,H271*6%,IF(H271=140,H271*8%,)))))</f>
        <v>0</v>
      </c>
      <c r="J271" s="2">
        <f>(H271-I271)*F271</f>
        <v>6300</v>
      </c>
    </row>
    <row r="272" spans="1:10" ht="16.5" x14ac:dyDescent="0.3">
      <c r="A272" s="4">
        <v>42766</v>
      </c>
      <c r="B272" s="2" t="s">
        <v>10</v>
      </c>
      <c r="C272" s="2">
        <v>1270</v>
      </c>
      <c r="D272" s="2" t="s">
        <v>27</v>
      </c>
      <c r="E272" s="2" t="s">
        <v>28</v>
      </c>
      <c r="F272" s="2">
        <v>70</v>
      </c>
      <c r="G272" s="2">
        <v>1</v>
      </c>
      <c r="H272" s="2">
        <v>35</v>
      </c>
      <c r="I272" s="2">
        <f>IF(H272=0,H272*0%,IF(H272=35,H272*2%,IF(H272=60,H272*5%,IF(H272=100,H272*6%,IF(H272=140,H272*8%,)))))</f>
        <v>0.70000000000000007</v>
      </c>
      <c r="J272" s="2">
        <f>(H272-I272)*F272</f>
        <v>2401</v>
      </c>
    </row>
    <row r="273" spans="1:10" ht="16.5" x14ac:dyDescent="0.3">
      <c r="A273" s="4">
        <v>42904</v>
      </c>
      <c r="B273" s="2" t="s">
        <v>15</v>
      </c>
      <c r="C273" s="2">
        <v>1271</v>
      </c>
      <c r="D273" s="2" t="s">
        <v>27</v>
      </c>
      <c r="E273" s="2" t="s">
        <v>21</v>
      </c>
      <c r="F273" s="2">
        <v>30</v>
      </c>
      <c r="G273" s="2">
        <v>1</v>
      </c>
      <c r="H273" s="2">
        <v>75</v>
      </c>
      <c r="I273" s="2">
        <f>IF(H273=0,H273*0%,IF(H273=35,H273*2%,IF(H273=60,H273*5%,IF(H273=100,H273*6%,IF(H273=140,H273*8%,)))))</f>
        <v>0</v>
      </c>
      <c r="J273" s="2">
        <f>(H273-I273)*F273</f>
        <v>2250</v>
      </c>
    </row>
    <row r="274" spans="1:10" ht="16.5" x14ac:dyDescent="0.3">
      <c r="A274" s="4">
        <v>42791</v>
      </c>
      <c r="B274" s="2" t="s">
        <v>10</v>
      </c>
      <c r="C274" s="2">
        <v>1272</v>
      </c>
      <c r="D274" s="2" t="s">
        <v>14</v>
      </c>
      <c r="E274" s="2" t="s">
        <v>21</v>
      </c>
      <c r="F274" s="2">
        <v>70</v>
      </c>
      <c r="G274" s="2">
        <v>2</v>
      </c>
      <c r="H274" s="2">
        <v>80</v>
      </c>
      <c r="I274" s="2">
        <f>IF(H274=0,H274*0%,IF(H274=35,H274*2%,IF(H274=60,H274*5%,IF(H274=100,H274*6%,IF(H274=140,H274*8%,)))))</f>
        <v>0</v>
      </c>
      <c r="J274" s="2">
        <f>(H274-I274)*F274</f>
        <v>5600</v>
      </c>
    </row>
    <row r="275" spans="1:10" ht="16.5" x14ac:dyDescent="0.3">
      <c r="A275" s="4">
        <v>42860</v>
      </c>
      <c r="B275" s="2" t="s">
        <v>13</v>
      </c>
      <c r="C275" s="2">
        <v>1273</v>
      </c>
      <c r="D275" s="2" t="s">
        <v>11</v>
      </c>
      <c r="E275" s="2" t="s">
        <v>12</v>
      </c>
      <c r="F275" s="2">
        <v>50</v>
      </c>
      <c r="G275" s="2">
        <v>1</v>
      </c>
      <c r="H275" s="2">
        <v>80</v>
      </c>
      <c r="I275" s="2">
        <f>IF(H275=0,H275*0%,IF(H275=35,H275*2%,IF(H275=60,H275*5%,IF(H275=100,H275*6%,IF(H275=140,H275*8%,)))))</f>
        <v>0</v>
      </c>
      <c r="J275" s="2">
        <f>(H275-I275)*F275</f>
        <v>4000</v>
      </c>
    </row>
    <row r="276" spans="1:10" ht="16.5" x14ac:dyDescent="0.3">
      <c r="A276" s="4">
        <v>42745</v>
      </c>
      <c r="B276" s="2" t="s">
        <v>13</v>
      </c>
      <c r="C276" s="2">
        <v>1274</v>
      </c>
      <c r="D276" s="2" t="s">
        <v>23</v>
      </c>
      <c r="E276" s="2" t="s">
        <v>20</v>
      </c>
      <c r="F276" s="2">
        <v>50</v>
      </c>
      <c r="G276" s="2">
        <v>1</v>
      </c>
      <c r="H276" s="2">
        <v>75</v>
      </c>
      <c r="I276" s="2">
        <f>IF(H276=0,H276*0%,IF(H276=35,H276*2%,IF(H276=60,H276*5%,IF(H276=100,H276*6%,IF(H276=140,H276*8%,)))))</f>
        <v>0</v>
      </c>
      <c r="J276" s="2">
        <f>(H276-I276)*F276</f>
        <v>3750</v>
      </c>
    </row>
    <row r="277" spans="1:10" ht="16.5" x14ac:dyDescent="0.3">
      <c r="A277" s="4">
        <v>42801</v>
      </c>
      <c r="B277" s="2" t="s">
        <v>15</v>
      </c>
      <c r="C277" s="2">
        <v>1275</v>
      </c>
      <c r="D277" s="2" t="s">
        <v>27</v>
      </c>
      <c r="E277" s="2" t="s">
        <v>24</v>
      </c>
      <c r="F277" s="2">
        <v>30</v>
      </c>
      <c r="G277" s="2">
        <v>1</v>
      </c>
      <c r="H277" s="2">
        <v>130</v>
      </c>
      <c r="I277" s="2">
        <f>IF(H277=0,H277*0%,IF(H277=35,H277*2%,IF(H277=60,H277*5%,IF(H277=100,H277*6%,IF(H277=140,H277*8%,)))))</f>
        <v>0</v>
      </c>
      <c r="J277" s="2">
        <f>(H277-I277)*F277</f>
        <v>3900</v>
      </c>
    </row>
    <row r="278" spans="1:10" ht="16.5" x14ac:dyDescent="0.3">
      <c r="A278" s="4">
        <v>42791</v>
      </c>
      <c r="B278" s="2" t="s">
        <v>15</v>
      </c>
      <c r="C278" s="2">
        <v>1276</v>
      </c>
      <c r="D278" s="2" t="s">
        <v>11</v>
      </c>
      <c r="E278" s="2" t="s">
        <v>26</v>
      </c>
      <c r="F278" s="2">
        <v>30</v>
      </c>
      <c r="G278" s="2">
        <v>1</v>
      </c>
      <c r="H278" s="2">
        <v>90</v>
      </c>
      <c r="I278" s="2">
        <f>IF(H278=0,H278*0%,IF(H278=35,H278*2%,IF(H278=60,H278*5%,IF(H278=100,H278*6%,IF(H278=140,H278*8%,)))))</f>
        <v>0</v>
      </c>
      <c r="J278" s="2">
        <f>(H278-I278)*F278</f>
        <v>2700</v>
      </c>
    </row>
    <row r="279" spans="1:10" ht="16.5" x14ac:dyDescent="0.3">
      <c r="A279" s="4">
        <v>42861</v>
      </c>
      <c r="B279" s="2" t="s">
        <v>13</v>
      </c>
      <c r="C279" s="2">
        <v>1277</v>
      </c>
      <c r="D279" s="2" t="s">
        <v>11</v>
      </c>
      <c r="E279" s="2" t="s">
        <v>21</v>
      </c>
      <c r="F279" s="2">
        <v>50</v>
      </c>
      <c r="G279" s="2">
        <v>1</v>
      </c>
      <c r="H279" s="2">
        <v>45</v>
      </c>
      <c r="I279" s="2">
        <f>IF(H279=0,H279*0%,IF(H279=35,H279*2%,IF(H279=60,H279*5%,IF(H279=100,H279*6%,IF(H279=140,H279*8%,)))))</f>
        <v>0</v>
      </c>
      <c r="J279" s="2">
        <f>(H279-I279)*F279</f>
        <v>2250</v>
      </c>
    </row>
    <row r="280" spans="1:10" ht="16.5" x14ac:dyDescent="0.3">
      <c r="A280" s="4">
        <v>42794</v>
      </c>
      <c r="B280" s="2" t="s">
        <v>15</v>
      </c>
      <c r="C280" s="2">
        <v>1278</v>
      </c>
      <c r="D280" s="2" t="s">
        <v>14</v>
      </c>
      <c r="E280" s="2" t="s">
        <v>26</v>
      </c>
      <c r="F280" s="2">
        <v>30</v>
      </c>
      <c r="G280" s="2">
        <v>1</v>
      </c>
      <c r="H280" s="2">
        <v>80</v>
      </c>
      <c r="I280" s="2">
        <f>IF(H280=0,H280*0%,IF(H280=35,H280*2%,IF(H280=60,H280*5%,IF(H280=100,H280*6%,IF(H280=140,H280*8%,)))))</f>
        <v>0</v>
      </c>
      <c r="J280" s="2">
        <f>(H280-I280)*F280</f>
        <v>2400</v>
      </c>
    </row>
    <row r="281" spans="1:10" ht="16.5" x14ac:dyDescent="0.3">
      <c r="A281" s="4">
        <v>42851</v>
      </c>
      <c r="B281" s="2" t="s">
        <v>10</v>
      </c>
      <c r="C281" s="2">
        <v>1279</v>
      </c>
      <c r="D281" s="2" t="s">
        <v>18</v>
      </c>
      <c r="E281" s="2" t="s">
        <v>20</v>
      </c>
      <c r="F281" s="2">
        <v>70</v>
      </c>
      <c r="G281" s="2">
        <v>3</v>
      </c>
      <c r="H281" s="2">
        <v>40</v>
      </c>
      <c r="I281" s="2">
        <f>IF(H281=0,H281*0%,IF(H281=35,H281*2%,IF(H281=60,H281*5%,IF(H281=100,H281*6%,IF(H281=140,H281*8%,)))))</f>
        <v>0</v>
      </c>
      <c r="J281" s="2">
        <f>(H281-I281)*F281</f>
        <v>2800</v>
      </c>
    </row>
    <row r="282" spans="1:10" ht="16.5" x14ac:dyDescent="0.3">
      <c r="A282" s="4">
        <v>42744</v>
      </c>
      <c r="B282" s="2" t="s">
        <v>10</v>
      </c>
      <c r="C282" s="2">
        <v>1280</v>
      </c>
      <c r="D282" s="2" t="s">
        <v>11</v>
      </c>
      <c r="E282" s="2" t="s">
        <v>20</v>
      </c>
      <c r="F282" s="2">
        <v>70</v>
      </c>
      <c r="G282" s="2">
        <v>3</v>
      </c>
      <c r="H282" s="2">
        <v>105</v>
      </c>
      <c r="I282" s="2">
        <f>IF(H282=0,H282*0%,IF(H282=35,H282*2%,IF(H282=60,H282*5%,IF(H282=100,H282*6%,IF(H282=140,H282*8%,)))))</f>
        <v>0</v>
      </c>
      <c r="J282" s="2">
        <f>(H282-I282)*F282</f>
        <v>7350</v>
      </c>
    </row>
    <row r="283" spans="1:10" ht="16.5" x14ac:dyDescent="0.3">
      <c r="A283" s="4">
        <v>42915</v>
      </c>
      <c r="B283" s="2" t="s">
        <v>10</v>
      </c>
      <c r="C283" s="2">
        <v>1281</v>
      </c>
      <c r="D283" s="2" t="s">
        <v>18</v>
      </c>
      <c r="E283" s="2" t="s">
        <v>28</v>
      </c>
      <c r="F283" s="2">
        <v>70</v>
      </c>
      <c r="G283" s="2">
        <v>1</v>
      </c>
      <c r="H283" s="2">
        <v>115</v>
      </c>
      <c r="I283" s="2">
        <f>IF(H283=0,H283*0%,IF(H283=35,H283*2%,IF(H283=60,H283*5%,IF(H283=100,H283*6%,IF(H283=140,H283*8%,)))))</f>
        <v>0</v>
      </c>
      <c r="J283" s="2">
        <f>(H283-I283)*F283</f>
        <v>8050</v>
      </c>
    </row>
    <row r="284" spans="1:10" ht="16.5" x14ac:dyDescent="0.3">
      <c r="A284" s="4">
        <v>42764</v>
      </c>
      <c r="B284" s="2" t="s">
        <v>15</v>
      </c>
      <c r="C284" s="2">
        <v>1282</v>
      </c>
      <c r="D284" s="2" t="s">
        <v>16</v>
      </c>
      <c r="E284" s="2" t="s">
        <v>12</v>
      </c>
      <c r="F284" s="2">
        <v>30</v>
      </c>
      <c r="G284" s="2">
        <v>1</v>
      </c>
      <c r="H284" s="2">
        <v>80</v>
      </c>
      <c r="I284" s="2">
        <f>IF(H284=0,H284*0%,IF(H284=35,H284*2%,IF(H284=60,H284*5%,IF(H284=100,H284*6%,IF(H284=140,H284*8%,)))))</f>
        <v>0</v>
      </c>
      <c r="J284" s="2">
        <f>(H284-I284)*F284</f>
        <v>2400</v>
      </c>
    </row>
    <row r="285" spans="1:10" ht="16.5" x14ac:dyDescent="0.3">
      <c r="A285" s="4">
        <v>42907</v>
      </c>
      <c r="B285" s="2" t="s">
        <v>10</v>
      </c>
      <c r="C285" s="2">
        <v>1283</v>
      </c>
      <c r="D285" s="2" t="s">
        <v>23</v>
      </c>
      <c r="E285" s="2" t="s">
        <v>26</v>
      </c>
      <c r="F285" s="2">
        <v>70</v>
      </c>
      <c r="G285" s="2">
        <v>1</v>
      </c>
      <c r="H285" s="2">
        <v>75</v>
      </c>
      <c r="I285" s="2">
        <f>IF(H285=0,H285*0%,IF(H285=35,H285*2%,IF(H285=60,H285*5%,IF(H285=100,H285*6%,IF(H285=140,H285*8%,)))))</f>
        <v>0</v>
      </c>
      <c r="J285" s="2">
        <f>(H285-I285)*F285</f>
        <v>5250</v>
      </c>
    </row>
    <row r="286" spans="1:10" ht="16.5" x14ac:dyDescent="0.3">
      <c r="A286" s="4">
        <v>42767</v>
      </c>
      <c r="B286" s="2" t="s">
        <v>10</v>
      </c>
      <c r="C286" s="2">
        <v>1284</v>
      </c>
      <c r="D286" s="2" t="s">
        <v>11</v>
      </c>
      <c r="E286" s="2" t="s">
        <v>26</v>
      </c>
      <c r="F286" s="2">
        <v>70</v>
      </c>
      <c r="G286" s="2">
        <v>1</v>
      </c>
      <c r="H286" s="2">
        <v>120</v>
      </c>
      <c r="I286" s="2">
        <f>IF(H286=0,H286*0%,IF(H286=35,H286*2%,IF(H286=60,H286*5%,IF(H286=100,H286*6%,IF(H286=140,H286*8%,)))))</f>
        <v>0</v>
      </c>
      <c r="J286" s="2">
        <f>(H286-I286)*F286</f>
        <v>8400</v>
      </c>
    </row>
    <row r="287" spans="1:10" ht="16.5" x14ac:dyDescent="0.3">
      <c r="A287" s="4">
        <v>42749</v>
      </c>
      <c r="B287" s="2" t="s">
        <v>10</v>
      </c>
      <c r="C287" s="2">
        <v>1285</v>
      </c>
      <c r="D287" s="2" t="s">
        <v>16</v>
      </c>
      <c r="E287" s="2" t="s">
        <v>28</v>
      </c>
      <c r="F287" s="2">
        <v>70</v>
      </c>
      <c r="G287" s="2">
        <v>1</v>
      </c>
      <c r="H287" s="2">
        <v>75</v>
      </c>
      <c r="I287" s="2">
        <f>IF(H287=0,H287*0%,IF(H287=35,H287*2%,IF(H287=60,H287*5%,IF(H287=100,H287*6%,IF(H287=140,H287*8%,)))))</f>
        <v>0</v>
      </c>
      <c r="J287" s="2">
        <f>(H287-I287)*F287</f>
        <v>5250</v>
      </c>
    </row>
    <row r="288" spans="1:10" ht="16.5" x14ac:dyDescent="0.3">
      <c r="A288" s="4">
        <v>42839</v>
      </c>
      <c r="B288" s="2" t="s">
        <v>15</v>
      </c>
      <c r="C288" s="2">
        <v>1286</v>
      </c>
      <c r="D288" s="2" t="s">
        <v>16</v>
      </c>
      <c r="E288" s="2" t="s">
        <v>17</v>
      </c>
      <c r="F288" s="2">
        <v>30</v>
      </c>
      <c r="G288" s="2">
        <v>1</v>
      </c>
      <c r="H288" s="2">
        <v>50</v>
      </c>
      <c r="I288" s="2">
        <f>IF(H288=0,H288*0%,IF(H288=35,H288*2%,IF(H288=60,H288*5%,IF(H288=100,H288*6%,IF(H288=140,H288*8%,)))))</f>
        <v>0</v>
      </c>
      <c r="J288" s="2">
        <f>(H288-I288)*F288</f>
        <v>1500</v>
      </c>
    </row>
    <row r="289" spans="1:10" ht="16.5" x14ac:dyDescent="0.3">
      <c r="A289" s="4">
        <v>42881</v>
      </c>
      <c r="B289" s="2" t="s">
        <v>10</v>
      </c>
      <c r="C289" s="2">
        <v>1287</v>
      </c>
      <c r="D289" s="2" t="s">
        <v>14</v>
      </c>
      <c r="E289" s="2" t="s">
        <v>21</v>
      </c>
      <c r="F289" s="2">
        <v>70</v>
      </c>
      <c r="G289" s="2">
        <v>2</v>
      </c>
      <c r="H289" s="2">
        <v>45</v>
      </c>
      <c r="I289" s="2">
        <f>IF(H289=0,H289*0%,IF(H289=35,H289*2%,IF(H289=60,H289*5%,IF(H289=100,H289*6%,IF(H289=140,H289*8%,)))))</f>
        <v>0</v>
      </c>
      <c r="J289" s="2">
        <f>(H289-I289)*F289</f>
        <v>3150</v>
      </c>
    </row>
    <row r="290" spans="1:10" ht="16.5" x14ac:dyDescent="0.3">
      <c r="A290" s="4">
        <v>42900</v>
      </c>
      <c r="B290" s="2" t="s">
        <v>10</v>
      </c>
      <c r="C290" s="2">
        <v>1288</v>
      </c>
      <c r="D290" s="2" t="s">
        <v>16</v>
      </c>
      <c r="E290" s="2" t="s">
        <v>28</v>
      </c>
      <c r="F290" s="2">
        <v>70</v>
      </c>
      <c r="G290" s="2">
        <v>1</v>
      </c>
      <c r="H290" s="2">
        <v>130</v>
      </c>
      <c r="I290" s="2">
        <f>IF(H290=0,H290*0%,IF(H290=35,H290*2%,IF(H290=60,H290*5%,IF(H290=100,H290*6%,IF(H290=140,H290*8%,)))))</f>
        <v>0</v>
      </c>
      <c r="J290" s="2">
        <f>(H290-I290)*F290</f>
        <v>9100</v>
      </c>
    </row>
    <row r="291" spans="1:10" ht="16.5" x14ac:dyDescent="0.3">
      <c r="A291" s="4">
        <v>42782</v>
      </c>
      <c r="B291" s="2" t="s">
        <v>15</v>
      </c>
      <c r="C291" s="2">
        <v>1289</v>
      </c>
      <c r="D291" s="2" t="s">
        <v>11</v>
      </c>
      <c r="E291" s="2" t="s">
        <v>12</v>
      </c>
      <c r="F291" s="2">
        <v>30</v>
      </c>
      <c r="G291" s="2">
        <v>1</v>
      </c>
      <c r="H291" s="2">
        <v>90</v>
      </c>
      <c r="I291" s="2">
        <f>IF(H291=0,H291*0%,IF(H291=35,H291*2%,IF(H291=60,H291*5%,IF(H291=100,H291*6%,IF(H291=140,H291*8%,)))))</f>
        <v>0</v>
      </c>
      <c r="J291" s="2">
        <f>(H291-I291)*F291</f>
        <v>2700</v>
      </c>
    </row>
    <row r="292" spans="1:10" ht="16.5" x14ac:dyDescent="0.3">
      <c r="A292" s="4">
        <v>42904</v>
      </c>
      <c r="B292" s="2" t="s">
        <v>13</v>
      </c>
      <c r="C292" s="2">
        <v>1290</v>
      </c>
      <c r="D292" s="2" t="s">
        <v>23</v>
      </c>
      <c r="E292" s="2" t="s">
        <v>21</v>
      </c>
      <c r="F292" s="2">
        <v>50</v>
      </c>
      <c r="G292" s="2">
        <v>1</v>
      </c>
      <c r="H292" s="2">
        <v>45</v>
      </c>
      <c r="I292" s="2">
        <f>IF(H292=0,H292*0%,IF(H292=35,H292*2%,IF(H292=60,H292*5%,IF(H292=100,H292*6%,IF(H292=140,H292*8%,)))))</f>
        <v>0</v>
      </c>
      <c r="J292" s="2">
        <f>(H292-I292)*F292</f>
        <v>2250</v>
      </c>
    </row>
    <row r="293" spans="1:10" ht="16.5" x14ac:dyDescent="0.3">
      <c r="A293" s="4">
        <v>42867</v>
      </c>
      <c r="B293" s="2" t="s">
        <v>13</v>
      </c>
      <c r="C293" s="2">
        <v>1291</v>
      </c>
      <c r="D293" s="2" t="s">
        <v>27</v>
      </c>
      <c r="E293" s="2" t="s">
        <v>17</v>
      </c>
      <c r="F293" s="2">
        <v>50</v>
      </c>
      <c r="G293" s="2">
        <v>1</v>
      </c>
      <c r="H293" s="2">
        <v>50</v>
      </c>
      <c r="I293" s="2">
        <f>IF(H293=0,H293*0%,IF(H293=35,H293*2%,IF(H293=60,H293*5%,IF(H293=100,H293*6%,IF(H293=140,H293*8%,)))))</f>
        <v>0</v>
      </c>
      <c r="J293" s="2">
        <f>(H293-I293)*F293</f>
        <v>2500</v>
      </c>
    </row>
    <row r="294" spans="1:10" ht="16.5" x14ac:dyDescent="0.3">
      <c r="A294" s="4">
        <v>42874</v>
      </c>
      <c r="B294" s="2" t="s">
        <v>13</v>
      </c>
      <c r="C294" s="2">
        <v>1292</v>
      </c>
      <c r="D294" s="2" t="s">
        <v>27</v>
      </c>
      <c r="E294" s="2" t="s">
        <v>25</v>
      </c>
      <c r="F294" s="2">
        <v>50</v>
      </c>
      <c r="G294" s="2">
        <v>1</v>
      </c>
      <c r="H294" s="2">
        <v>50</v>
      </c>
      <c r="I294" s="2">
        <f>IF(H294=0,H294*0%,IF(H294=35,H294*2%,IF(H294=60,H294*5%,IF(H294=100,H294*6%,IF(H294=140,H294*8%,)))))</f>
        <v>0</v>
      </c>
      <c r="J294" s="2">
        <f>(H294-I294)*F294</f>
        <v>2500</v>
      </c>
    </row>
    <row r="295" spans="1:10" ht="16.5" x14ac:dyDescent="0.3">
      <c r="A295" s="4">
        <v>42856</v>
      </c>
      <c r="B295" s="2" t="s">
        <v>13</v>
      </c>
      <c r="C295" s="2">
        <v>1293</v>
      </c>
      <c r="D295" s="2" t="s">
        <v>11</v>
      </c>
      <c r="E295" s="2" t="s">
        <v>20</v>
      </c>
      <c r="F295" s="2">
        <v>50</v>
      </c>
      <c r="G295" s="2">
        <v>1</v>
      </c>
      <c r="H295" s="2">
        <v>45</v>
      </c>
      <c r="I295" s="2">
        <f>IF(H295=0,H295*0%,IF(H295=35,H295*2%,IF(H295=60,H295*5%,IF(H295=100,H295*6%,IF(H295=140,H295*8%,)))))</f>
        <v>0</v>
      </c>
      <c r="J295" s="2">
        <f>(H295-I295)*F295</f>
        <v>2250</v>
      </c>
    </row>
    <row r="296" spans="1:10" ht="16.5" x14ac:dyDescent="0.3">
      <c r="A296" s="4">
        <v>42819</v>
      </c>
      <c r="B296" s="2" t="s">
        <v>15</v>
      </c>
      <c r="C296" s="2">
        <v>1294</v>
      </c>
      <c r="D296" s="2" t="s">
        <v>14</v>
      </c>
      <c r="E296" s="2" t="s">
        <v>28</v>
      </c>
      <c r="F296" s="2">
        <v>30</v>
      </c>
      <c r="G296" s="2">
        <v>1</v>
      </c>
      <c r="H296" s="2">
        <v>130</v>
      </c>
      <c r="I296" s="2">
        <f>IF(H296=0,H296*0%,IF(H296=35,H296*2%,IF(H296=60,H296*5%,IF(H296=100,H296*6%,IF(H296=140,H296*8%,)))))</f>
        <v>0</v>
      </c>
      <c r="J296" s="2">
        <f>(H296-I296)*F296</f>
        <v>3900</v>
      </c>
    </row>
    <row r="297" spans="1:10" ht="16.5" x14ac:dyDescent="0.3">
      <c r="A297" s="4">
        <v>42755</v>
      </c>
      <c r="B297" s="2" t="s">
        <v>13</v>
      </c>
      <c r="C297" s="2">
        <v>1295</v>
      </c>
      <c r="D297" s="2" t="s">
        <v>23</v>
      </c>
      <c r="E297" s="2" t="s">
        <v>24</v>
      </c>
      <c r="F297" s="2">
        <v>50</v>
      </c>
      <c r="G297" s="2">
        <v>1</v>
      </c>
      <c r="H297" s="2">
        <v>80</v>
      </c>
      <c r="I297" s="2">
        <f>IF(H297=0,H297*0%,IF(H297=35,H297*2%,IF(H297=60,H297*5%,IF(H297=100,H297*6%,IF(H297=140,H297*8%,)))))</f>
        <v>0</v>
      </c>
      <c r="J297" s="2">
        <f>(H297-I297)*F297</f>
        <v>4000</v>
      </c>
    </row>
    <row r="298" spans="1:10" ht="16.5" x14ac:dyDescent="0.3">
      <c r="A298" s="4">
        <v>42913</v>
      </c>
      <c r="B298" s="2" t="s">
        <v>15</v>
      </c>
      <c r="C298" s="2">
        <v>1296</v>
      </c>
      <c r="D298" s="2" t="s">
        <v>18</v>
      </c>
      <c r="E298" s="2" t="s">
        <v>19</v>
      </c>
      <c r="F298" s="2">
        <v>30</v>
      </c>
      <c r="G298" s="2">
        <v>1</v>
      </c>
      <c r="H298" s="2">
        <v>50</v>
      </c>
      <c r="I298" s="2">
        <f>IF(H298=0,H298*0%,IF(H298=35,H298*2%,IF(H298=60,H298*5%,IF(H298=100,H298*6%,IF(H298=140,H298*8%,)))))</f>
        <v>0</v>
      </c>
      <c r="J298" s="2">
        <f>(H298-I298)*F298</f>
        <v>1500</v>
      </c>
    </row>
    <row r="299" spans="1:10" ht="16.5" x14ac:dyDescent="0.3">
      <c r="A299" s="4">
        <v>42806</v>
      </c>
      <c r="B299" s="2" t="s">
        <v>13</v>
      </c>
      <c r="C299" s="2">
        <v>1297</v>
      </c>
      <c r="D299" s="2" t="s">
        <v>11</v>
      </c>
      <c r="E299" s="2" t="s">
        <v>19</v>
      </c>
      <c r="F299" s="2">
        <v>50</v>
      </c>
      <c r="G299" s="2">
        <v>1</v>
      </c>
      <c r="H299" s="2">
        <v>75</v>
      </c>
      <c r="I299" s="2">
        <f>IF(H299=0,H299*0%,IF(H299=35,H299*2%,IF(H299=60,H299*5%,IF(H299=100,H299*6%,IF(H299=140,H299*8%,)))))</f>
        <v>0</v>
      </c>
      <c r="J299" s="2">
        <f>(H299-I299)*F299</f>
        <v>3750</v>
      </c>
    </row>
    <row r="300" spans="1:10" ht="16.5" x14ac:dyDescent="0.3">
      <c r="A300" s="4">
        <v>42865</v>
      </c>
      <c r="B300" s="2" t="s">
        <v>10</v>
      </c>
      <c r="C300" s="2">
        <v>1298</v>
      </c>
      <c r="D300" s="2" t="s">
        <v>18</v>
      </c>
      <c r="E300" s="2" t="s">
        <v>19</v>
      </c>
      <c r="F300" s="2">
        <v>70</v>
      </c>
      <c r="G300" s="2">
        <v>1</v>
      </c>
      <c r="H300" s="2">
        <v>80</v>
      </c>
      <c r="I300" s="2">
        <f>IF(H300=0,H300*0%,IF(H300=35,H300*2%,IF(H300=60,H300*5%,IF(H300=100,H300*6%,IF(H300=140,H300*8%,)))))</f>
        <v>0</v>
      </c>
      <c r="J300" s="2">
        <f>(H300-I300)*F300</f>
        <v>5600</v>
      </c>
    </row>
    <row r="301" spans="1:10" ht="16.5" x14ac:dyDescent="0.3">
      <c r="A301" s="4">
        <v>42903</v>
      </c>
      <c r="B301" s="2" t="s">
        <v>10</v>
      </c>
      <c r="C301" s="2">
        <v>1299</v>
      </c>
      <c r="D301" s="2" t="s">
        <v>11</v>
      </c>
      <c r="E301" s="2" t="s">
        <v>19</v>
      </c>
      <c r="F301" s="2">
        <v>70</v>
      </c>
      <c r="G301" s="2">
        <v>1</v>
      </c>
      <c r="H301" s="2">
        <v>45</v>
      </c>
      <c r="I301" s="2">
        <f>IF(H301=0,H301*0%,IF(H301=35,H301*2%,IF(H301=60,H301*5%,IF(H301=100,H301*6%,IF(H301=140,H301*8%,)))))</f>
        <v>0</v>
      </c>
      <c r="J301" s="2">
        <f>(H301-I301)*F301</f>
        <v>3150</v>
      </c>
    </row>
    <row r="302" spans="1:10" ht="16.5" x14ac:dyDescent="0.3">
      <c r="A302" s="4">
        <v>42752</v>
      </c>
      <c r="B302" s="2" t="s">
        <v>10</v>
      </c>
      <c r="C302" s="2">
        <v>1300</v>
      </c>
      <c r="D302" s="2" t="s">
        <v>11</v>
      </c>
      <c r="E302" s="2" t="s">
        <v>12</v>
      </c>
      <c r="F302" s="2">
        <v>70</v>
      </c>
      <c r="G302" s="2">
        <v>1</v>
      </c>
      <c r="H302" s="2">
        <v>115</v>
      </c>
      <c r="I302" s="2">
        <f>IF(H302=0,H302*0%,IF(H302=35,H302*2%,IF(H302=60,H302*5%,IF(H302=100,H302*6%,IF(H302=140,H302*8%,)))))</f>
        <v>0</v>
      </c>
      <c r="J302" s="2">
        <f>(H302-I302)*F302</f>
        <v>8050</v>
      </c>
    </row>
    <row r="303" spans="1:10" ht="16.5" x14ac:dyDescent="0.3">
      <c r="A303" s="4">
        <v>42847</v>
      </c>
      <c r="B303" s="2" t="s">
        <v>13</v>
      </c>
      <c r="C303" s="2">
        <v>1301</v>
      </c>
      <c r="D303" s="2" t="s">
        <v>14</v>
      </c>
      <c r="E303" s="2" t="s">
        <v>12</v>
      </c>
      <c r="F303" s="2">
        <v>50</v>
      </c>
      <c r="G303" s="2">
        <v>1</v>
      </c>
      <c r="H303" s="2">
        <v>60</v>
      </c>
      <c r="I303" s="2">
        <f>IF(H303=0,H303*0%,IF(H303=35,H303*2%,IF(H303=60,H303*5%,IF(H303=100,H303*6%,IF(H303=140,H303*8%,)))))</f>
        <v>3</v>
      </c>
      <c r="J303" s="2">
        <f>(H303-I303)*F303</f>
        <v>2850</v>
      </c>
    </row>
    <row r="304" spans="1:10" ht="16.5" x14ac:dyDescent="0.3">
      <c r="A304" s="4">
        <v>42913</v>
      </c>
      <c r="B304" s="2" t="s">
        <v>15</v>
      </c>
      <c r="C304" s="2">
        <v>1302</v>
      </c>
      <c r="D304" s="2" t="s">
        <v>16</v>
      </c>
      <c r="E304" s="2" t="s">
        <v>12</v>
      </c>
      <c r="F304" s="2">
        <v>30</v>
      </c>
      <c r="G304" s="2">
        <v>1</v>
      </c>
      <c r="H304" s="2">
        <v>110</v>
      </c>
      <c r="I304" s="2">
        <f>IF(H304=0,H304*0%,IF(H304=35,H304*2%,IF(H304=60,H304*5%,IF(H304=100,H304*6%,IF(H304=140,H304*8%,)))))</f>
        <v>0</v>
      </c>
      <c r="J304" s="2">
        <f>(H304-I304)*F304</f>
        <v>3300</v>
      </c>
    </row>
    <row r="305" spans="1:10" ht="16.5" x14ac:dyDescent="0.3">
      <c r="A305" s="4">
        <v>42887</v>
      </c>
      <c r="B305" s="2" t="s">
        <v>10</v>
      </c>
      <c r="C305" s="2">
        <v>1303</v>
      </c>
      <c r="D305" s="2" t="s">
        <v>16</v>
      </c>
      <c r="E305" s="2" t="s">
        <v>17</v>
      </c>
      <c r="F305" s="2">
        <v>70</v>
      </c>
      <c r="G305" s="2">
        <v>1</v>
      </c>
      <c r="H305" s="2">
        <v>40</v>
      </c>
      <c r="I305" s="2">
        <f>IF(H305=0,H305*0%,IF(H305=35,H305*2%,IF(H305=60,H305*5%,IF(H305=100,H305*6%,IF(H305=140,H305*8%,)))))</f>
        <v>0</v>
      </c>
      <c r="J305" s="2">
        <f>(H305-I305)*F305</f>
        <v>2800</v>
      </c>
    </row>
    <row r="306" spans="1:10" ht="16.5" x14ac:dyDescent="0.3">
      <c r="A306" s="4">
        <v>42787</v>
      </c>
      <c r="B306" s="2" t="s">
        <v>13</v>
      </c>
      <c r="C306" s="2">
        <v>1304</v>
      </c>
      <c r="D306" s="2" t="s">
        <v>18</v>
      </c>
      <c r="E306" s="2" t="s">
        <v>19</v>
      </c>
      <c r="F306" s="2">
        <v>50</v>
      </c>
      <c r="G306" s="2">
        <v>1</v>
      </c>
      <c r="H306" s="2">
        <v>40</v>
      </c>
      <c r="I306" s="2">
        <f>IF(H306=0,H306*0%,IF(H306=35,H306*2%,IF(H306=60,H306*5%,IF(H306=100,H306*6%,IF(H306=140,H306*8%,)))))</f>
        <v>0</v>
      </c>
      <c r="J306" s="2">
        <f>(H306-I306)*F306</f>
        <v>2000</v>
      </c>
    </row>
    <row r="307" spans="1:10" ht="16.5" x14ac:dyDescent="0.3">
      <c r="A307" s="4">
        <v>42843</v>
      </c>
      <c r="B307" s="2" t="s">
        <v>13</v>
      </c>
      <c r="C307" s="2">
        <v>1305</v>
      </c>
      <c r="D307" s="2" t="s">
        <v>16</v>
      </c>
      <c r="E307" s="2" t="s">
        <v>20</v>
      </c>
      <c r="F307" s="2">
        <v>50</v>
      </c>
      <c r="G307" s="2">
        <v>1</v>
      </c>
      <c r="H307" s="2">
        <v>90</v>
      </c>
      <c r="I307" s="2">
        <f>IF(H307=0,H307*0%,IF(H307=35,H307*2%,IF(H307=60,H307*5%,IF(H307=100,H307*6%,IF(H307=140,H307*8%,)))))</f>
        <v>0</v>
      </c>
      <c r="J307" s="2">
        <f>(H307-I307)*F307</f>
        <v>4500</v>
      </c>
    </row>
    <row r="308" spans="1:10" ht="16.5" x14ac:dyDescent="0.3">
      <c r="A308" s="4">
        <v>42883</v>
      </c>
      <c r="B308" s="2" t="s">
        <v>13</v>
      </c>
      <c r="C308" s="2">
        <v>1306</v>
      </c>
      <c r="D308" s="2" t="s">
        <v>14</v>
      </c>
      <c r="E308" s="2" t="s">
        <v>21</v>
      </c>
      <c r="F308" s="2">
        <v>50</v>
      </c>
      <c r="G308" s="2">
        <v>1</v>
      </c>
      <c r="H308" s="2">
        <v>50</v>
      </c>
      <c r="I308" s="2">
        <f>IF(H308=0,H308*0%,IF(H308=35,H308*2%,IF(H308=60,H308*5%,IF(H308=100,H308*6%,IF(H308=140,H308*8%,)))))</f>
        <v>0</v>
      </c>
      <c r="J308" s="2">
        <f>(H308-I308)*F308</f>
        <v>2500</v>
      </c>
    </row>
    <row r="309" spans="1:10" ht="16.5" x14ac:dyDescent="0.3">
      <c r="A309" s="4">
        <v>42737</v>
      </c>
      <c r="B309" s="2" t="s">
        <v>15</v>
      </c>
      <c r="C309" s="2">
        <v>1307</v>
      </c>
      <c r="D309" s="2" t="s">
        <v>16</v>
      </c>
      <c r="E309" s="2" t="s">
        <v>22</v>
      </c>
      <c r="F309" s="2">
        <v>30</v>
      </c>
      <c r="G309" s="2">
        <v>1</v>
      </c>
      <c r="H309" s="2">
        <v>160</v>
      </c>
      <c r="I309" s="2">
        <f>IF(H309=0,H309*0%,IF(H309=35,H309*2%,IF(H309=60,H309*5%,IF(H309=100,H309*6%,IF(H309=140,H309*8%,)))))</f>
        <v>0</v>
      </c>
      <c r="J309" s="2">
        <f>(H309-I309)*F309</f>
        <v>4800</v>
      </c>
    </row>
    <row r="310" spans="1:10" ht="16.5" x14ac:dyDescent="0.3">
      <c r="A310" s="4">
        <v>42883</v>
      </c>
      <c r="B310" s="2" t="s">
        <v>10</v>
      </c>
      <c r="C310" s="2">
        <v>1308</v>
      </c>
      <c r="D310" s="2" t="s">
        <v>23</v>
      </c>
      <c r="E310" s="2" t="s">
        <v>24</v>
      </c>
      <c r="F310" s="2">
        <v>70</v>
      </c>
      <c r="G310" s="2">
        <v>1</v>
      </c>
      <c r="H310" s="2">
        <v>105</v>
      </c>
      <c r="I310" s="2">
        <f>IF(H310=0,H310*0%,IF(H310=35,H310*2%,IF(H310=60,H310*5%,IF(H310=100,H310*6%,IF(H310=140,H310*8%,)))))</f>
        <v>0</v>
      </c>
      <c r="J310" s="2">
        <f>(H310-I310)*F310</f>
        <v>7350</v>
      </c>
    </row>
    <row r="311" spans="1:10" ht="16.5" x14ac:dyDescent="0.3">
      <c r="A311" s="4">
        <v>42786</v>
      </c>
      <c r="B311" s="2" t="s">
        <v>15</v>
      </c>
      <c r="C311" s="2">
        <v>1309</v>
      </c>
      <c r="D311" s="2" t="s">
        <v>14</v>
      </c>
      <c r="E311" s="2" t="s">
        <v>19</v>
      </c>
      <c r="F311" s="2">
        <v>30</v>
      </c>
      <c r="G311" s="2">
        <v>1</v>
      </c>
      <c r="H311" s="2">
        <v>60</v>
      </c>
      <c r="I311" s="2">
        <f>IF(H311=0,H311*0%,IF(H311=35,H311*2%,IF(H311=60,H311*5%,IF(H311=100,H311*6%,IF(H311=140,H311*8%,)))))</f>
        <v>3</v>
      </c>
      <c r="J311" s="2">
        <f>(H311-I311)*F311</f>
        <v>1710</v>
      </c>
    </row>
    <row r="312" spans="1:10" ht="16.5" x14ac:dyDescent="0.3">
      <c r="A312" s="4">
        <v>42896</v>
      </c>
      <c r="B312" s="2" t="s">
        <v>13</v>
      </c>
      <c r="C312" s="2">
        <v>1310</v>
      </c>
      <c r="D312" s="2" t="s">
        <v>23</v>
      </c>
      <c r="E312" s="2" t="s">
        <v>25</v>
      </c>
      <c r="F312" s="2">
        <v>50</v>
      </c>
      <c r="G312" s="2">
        <v>1</v>
      </c>
      <c r="H312" s="2">
        <v>160</v>
      </c>
      <c r="I312" s="2">
        <f>IF(H312=0,H312*0%,IF(H312=35,H312*2%,IF(H312=60,H312*5%,IF(H312=100,H312*6%,IF(H312=140,H312*8%,)))))</f>
        <v>0</v>
      </c>
      <c r="J312" s="2">
        <f>(H312-I312)*F312</f>
        <v>8000</v>
      </c>
    </row>
    <row r="313" spans="1:10" ht="16.5" x14ac:dyDescent="0.3">
      <c r="A313" s="4">
        <v>42910</v>
      </c>
      <c r="B313" s="2" t="s">
        <v>15</v>
      </c>
      <c r="C313" s="2">
        <v>1311</v>
      </c>
      <c r="D313" s="2" t="s">
        <v>18</v>
      </c>
      <c r="E313" s="2" t="s">
        <v>17</v>
      </c>
      <c r="F313" s="2">
        <v>30</v>
      </c>
      <c r="G313" s="2">
        <v>1</v>
      </c>
      <c r="H313" s="2">
        <v>35</v>
      </c>
      <c r="I313" s="2">
        <f>IF(H313=0,H313*0%,IF(H313=35,H313*2%,IF(H313=60,H313*5%,IF(H313=100,H313*6%,IF(H313=140,H313*8%,)))))</f>
        <v>0.70000000000000007</v>
      </c>
      <c r="J313" s="2">
        <f>(H313-I313)*F313</f>
        <v>1029</v>
      </c>
    </row>
    <row r="314" spans="1:10" ht="16.5" x14ac:dyDescent="0.3">
      <c r="A314" s="4">
        <v>42797</v>
      </c>
      <c r="B314" s="2" t="s">
        <v>15</v>
      </c>
      <c r="C314" s="2">
        <v>1312</v>
      </c>
      <c r="D314" s="2" t="s">
        <v>14</v>
      </c>
      <c r="E314" s="2" t="s">
        <v>20</v>
      </c>
      <c r="F314" s="2">
        <v>30</v>
      </c>
      <c r="G314" s="2">
        <v>1</v>
      </c>
      <c r="H314" s="2">
        <v>40</v>
      </c>
      <c r="I314" s="2">
        <f>IF(H314=0,H314*0%,IF(H314=35,H314*2%,IF(H314=60,H314*5%,IF(H314=100,H314*6%,IF(H314=140,H314*8%,)))))</f>
        <v>0</v>
      </c>
      <c r="J314" s="2">
        <f>(H314-I314)*F314</f>
        <v>1200</v>
      </c>
    </row>
    <row r="315" spans="1:10" ht="16.5" x14ac:dyDescent="0.3">
      <c r="A315" s="4">
        <v>42806</v>
      </c>
      <c r="B315" s="2" t="s">
        <v>15</v>
      </c>
      <c r="C315" s="2">
        <v>1313</v>
      </c>
      <c r="D315" s="2" t="s">
        <v>18</v>
      </c>
      <c r="E315" s="2" t="s">
        <v>21</v>
      </c>
      <c r="F315" s="2">
        <v>30</v>
      </c>
      <c r="G315" s="2">
        <v>1</v>
      </c>
      <c r="H315" s="2">
        <v>160</v>
      </c>
      <c r="I315" s="2">
        <f>IF(H315=0,H315*0%,IF(H315=35,H315*2%,IF(H315=60,H315*5%,IF(H315=100,H315*6%,IF(H315=140,H315*8%,)))))</f>
        <v>0</v>
      </c>
      <c r="J315" s="2">
        <f>(H315-I315)*F315</f>
        <v>4800</v>
      </c>
    </row>
    <row r="316" spans="1:10" ht="16.5" x14ac:dyDescent="0.3">
      <c r="A316" s="4">
        <v>42809</v>
      </c>
      <c r="B316" s="2" t="s">
        <v>13</v>
      </c>
      <c r="C316" s="2">
        <v>1314</v>
      </c>
      <c r="D316" s="2" t="s">
        <v>16</v>
      </c>
      <c r="E316" s="2" t="s">
        <v>26</v>
      </c>
      <c r="F316" s="2">
        <v>50</v>
      </c>
      <c r="G316" s="2">
        <v>1</v>
      </c>
      <c r="H316" s="2">
        <v>100</v>
      </c>
      <c r="I316" s="2">
        <f>IF(H316=0,H316*0%,IF(H316=35,H316*2%,IF(H316=60,H316*5%,IF(H316=100,H316*6%,IF(H316=140,H316*8%,)))))</f>
        <v>6</v>
      </c>
      <c r="J316" s="2">
        <f>(H316-I316)*F316</f>
        <v>4700</v>
      </c>
    </row>
    <row r="317" spans="1:10" ht="16.5" x14ac:dyDescent="0.3">
      <c r="A317" s="4">
        <v>42795</v>
      </c>
      <c r="B317" s="2" t="s">
        <v>10</v>
      </c>
      <c r="C317" s="2">
        <v>1315</v>
      </c>
      <c r="D317" s="2" t="s">
        <v>16</v>
      </c>
      <c r="E317" s="2" t="s">
        <v>20</v>
      </c>
      <c r="F317" s="2">
        <v>70</v>
      </c>
      <c r="G317" s="2">
        <v>3</v>
      </c>
      <c r="H317" s="2">
        <v>50</v>
      </c>
      <c r="I317" s="2">
        <f>IF(H317=0,H317*0%,IF(H317=35,H317*2%,IF(H317=60,H317*5%,IF(H317=100,H317*6%,IF(H317=140,H317*8%,)))))</f>
        <v>0</v>
      </c>
      <c r="J317" s="2">
        <f>(H317-I317)*F317</f>
        <v>3500</v>
      </c>
    </row>
    <row r="318" spans="1:10" ht="16.5" x14ac:dyDescent="0.3">
      <c r="A318" s="4">
        <v>42812</v>
      </c>
      <c r="B318" s="2" t="s">
        <v>15</v>
      </c>
      <c r="C318" s="2">
        <v>1316</v>
      </c>
      <c r="D318" s="2" t="s">
        <v>23</v>
      </c>
      <c r="E318" s="2" t="s">
        <v>12</v>
      </c>
      <c r="F318" s="2">
        <v>30</v>
      </c>
      <c r="G318" s="2">
        <v>1</v>
      </c>
      <c r="H318" s="2">
        <v>180</v>
      </c>
      <c r="I318" s="2">
        <f>IF(H318=0,H318*0%,IF(H318=35,H318*2%,IF(H318=60,H318*5%,IF(H318=100,H318*6%,IF(H318=140,H318*8%,)))))</f>
        <v>0</v>
      </c>
      <c r="J318" s="2">
        <f>(H318-I318)*F318</f>
        <v>5400</v>
      </c>
    </row>
    <row r="319" spans="1:10" ht="16.5" x14ac:dyDescent="0.3">
      <c r="A319" s="4">
        <v>42772</v>
      </c>
      <c r="B319" s="2" t="s">
        <v>13</v>
      </c>
      <c r="C319" s="2">
        <v>1317</v>
      </c>
      <c r="D319" s="2" t="s">
        <v>27</v>
      </c>
      <c r="E319" s="2" t="s">
        <v>22</v>
      </c>
      <c r="F319" s="2">
        <v>50</v>
      </c>
      <c r="G319" s="2">
        <v>1</v>
      </c>
      <c r="H319" s="2">
        <v>75</v>
      </c>
      <c r="I319" s="2">
        <f>IF(H319=0,H319*0%,IF(H319=35,H319*2%,IF(H319=60,H319*5%,IF(H319=100,H319*6%,IF(H319=140,H319*8%,)))))</f>
        <v>0</v>
      </c>
      <c r="J319" s="2">
        <f>(H319-I319)*F319</f>
        <v>3750</v>
      </c>
    </row>
    <row r="320" spans="1:10" ht="16.5" x14ac:dyDescent="0.3">
      <c r="A320" s="4">
        <v>42821</v>
      </c>
      <c r="B320" s="2" t="s">
        <v>10</v>
      </c>
      <c r="C320" s="2">
        <v>1318</v>
      </c>
      <c r="D320" s="2" t="s">
        <v>18</v>
      </c>
      <c r="E320" s="2" t="s">
        <v>19</v>
      </c>
      <c r="F320" s="2">
        <v>70</v>
      </c>
      <c r="G320" s="2">
        <v>1</v>
      </c>
      <c r="H320" s="2">
        <v>120</v>
      </c>
      <c r="I320" s="2">
        <f>IF(H320=0,H320*0%,IF(H320=35,H320*2%,IF(H320=60,H320*5%,IF(H320=100,H320*6%,IF(H320=140,H320*8%,)))))</f>
        <v>0</v>
      </c>
      <c r="J320" s="2">
        <f>(H320-I320)*F320</f>
        <v>8400</v>
      </c>
    </row>
    <row r="321" spans="1:10" ht="16.5" x14ac:dyDescent="0.3">
      <c r="A321" s="4">
        <v>42785</v>
      </c>
      <c r="B321" s="2" t="s">
        <v>13</v>
      </c>
      <c r="C321" s="2">
        <v>1319</v>
      </c>
      <c r="D321" s="2" t="s">
        <v>14</v>
      </c>
      <c r="E321" s="2" t="s">
        <v>19</v>
      </c>
      <c r="F321" s="2">
        <v>50</v>
      </c>
      <c r="G321" s="2">
        <v>1</v>
      </c>
      <c r="H321" s="2">
        <v>75</v>
      </c>
      <c r="I321" s="2">
        <f>IF(H321=0,H321*0%,IF(H321=35,H321*2%,IF(H321=60,H321*5%,IF(H321=100,H321*6%,IF(H321=140,H321*8%,)))))</f>
        <v>0</v>
      </c>
      <c r="J321" s="2">
        <f>(H321-I321)*F321</f>
        <v>3750</v>
      </c>
    </row>
    <row r="322" spans="1:10" ht="16.5" x14ac:dyDescent="0.3">
      <c r="A322" s="4">
        <v>42880</v>
      </c>
      <c r="B322" s="2" t="s">
        <v>13</v>
      </c>
      <c r="C322" s="2">
        <v>1320</v>
      </c>
      <c r="D322" s="2" t="s">
        <v>11</v>
      </c>
      <c r="E322" s="2" t="s">
        <v>21</v>
      </c>
      <c r="F322" s="2">
        <v>50</v>
      </c>
      <c r="G322" s="2">
        <v>1</v>
      </c>
      <c r="H322" s="2">
        <v>50</v>
      </c>
      <c r="I322" s="2">
        <f>IF(H322=0,H322*0%,IF(H322=35,H322*2%,IF(H322=60,H322*5%,IF(H322=100,H322*6%,IF(H322=140,H322*8%,)))))</f>
        <v>0</v>
      </c>
      <c r="J322" s="2">
        <f>(H322-I322)*F322</f>
        <v>2500</v>
      </c>
    </row>
    <row r="323" spans="1:10" ht="16.5" x14ac:dyDescent="0.3">
      <c r="A323" s="4">
        <v>42822</v>
      </c>
      <c r="B323" s="2" t="s">
        <v>10</v>
      </c>
      <c r="C323" s="2">
        <v>1321</v>
      </c>
      <c r="D323" s="2" t="s">
        <v>11</v>
      </c>
      <c r="E323" s="2" t="s">
        <v>19</v>
      </c>
      <c r="F323" s="2">
        <v>70</v>
      </c>
      <c r="G323" s="2">
        <v>1</v>
      </c>
      <c r="H323" s="2">
        <v>90</v>
      </c>
      <c r="I323" s="2">
        <f>IF(H323=0,H323*0%,IF(H323=35,H323*2%,IF(H323=60,H323*5%,IF(H323=100,H323*6%,IF(H323=140,H323*8%,)))))</f>
        <v>0</v>
      </c>
      <c r="J323" s="2">
        <f>(H323-I323)*F323</f>
        <v>6300</v>
      </c>
    </row>
    <row r="324" spans="1:10" ht="16.5" x14ac:dyDescent="0.3">
      <c r="A324" s="4">
        <v>42893</v>
      </c>
      <c r="B324" s="2" t="s">
        <v>15</v>
      </c>
      <c r="C324" s="2">
        <v>1322</v>
      </c>
      <c r="D324" s="2" t="s">
        <v>27</v>
      </c>
      <c r="E324" s="2" t="s">
        <v>21</v>
      </c>
      <c r="F324" s="2">
        <v>30</v>
      </c>
      <c r="G324" s="2">
        <v>1</v>
      </c>
      <c r="H324" s="2">
        <v>80</v>
      </c>
      <c r="I324" s="2">
        <f>IF(H324=0,H324*0%,IF(H324=35,H324*2%,IF(H324=60,H324*5%,IF(H324=100,H324*6%,IF(H324=140,H324*8%,)))))</f>
        <v>0</v>
      </c>
      <c r="J324" s="2">
        <f>(H324-I324)*F324</f>
        <v>2400</v>
      </c>
    </row>
    <row r="325" spans="1:10" ht="16.5" x14ac:dyDescent="0.3">
      <c r="A325" s="4">
        <v>42814</v>
      </c>
      <c r="B325" s="2" t="s">
        <v>15</v>
      </c>
      <c r="C325" s="2">
        <v>1323</v>
      </c>
      <c r="D325" s="2" t="s">
        <v>16</v>
      </c>
      <c r="E325" s="2" t="s">
        <v>22</v>
      </c>
      <c r="F325" s="2">
        <v>30</v>
      </c>
      <c r="G325" s="2">
        <v>1</v>
      </c>
      <c r="H325" s="2">
        <v>115</v>
      </c>
      <c r="I325" s="2">
        <f>IF(H325=0,H325*0%,IF(H325=35,H325*2%,IF(H325=60,H325*5%,IF(H325=100,H325*6%,IF(H325=140,H325*8%,)))))</f>
        <v>0</v>
      </c>
      <c r="J325" s="2">
        <f>(H325-I325)*F325</f>
        <v>3450</v>
      </c>
    </row>
    <row r="326" spans="1:10" ht="16.5" x14ac:dyDescent="0.3">
      <c r="A326" s="4">
        <v>42760</v>
      </c>
      <c r="B326" s="2" t="s">
        <v>15</v>
      </c>
      <c r="C326" s="2">
        <v>1324</v>
      </c>
      <c r="D326" s="2" t="s">
        <v>27</v>
      </c>
      <c r="E326" s="2" t="s">
        <v>24</v>
      </c>
      <c r="F326" s="2">
        <v>30</v>
      </c>
      <c r="G326" s="2">
        <v>1</v>
      </c>
      <c r="H326" s="2">
        <v>120</v>
      </c>
      <c r="I326" s="2">
        <f>IF(H326=0,H326*0%,IF(H326=35,H326*2%,IF(H326=60,H326*5%,IF(H326=100,H326*6%,IF(H326=140,H326*8%,)))))</f>
        <v>0</v>
      </c>
      <c r="J326" s="2">
        <f>(H326-I326)*F326</f>
        <v>3600</v>
      </c>
    </row>
    <row r="327" spans="1:10" ht="16.5" x14ac:dyDescent="0.3">
      <c r="A327" s="4">
        <v>42772</v>
      </c>
      <c r="B327" s="2" t="s">
        <v>13</v>
      </c>
      <c r="C327" s="2">
        <v>1325</v>
      </c>
      <c r="D327" s="2" t="s">
        <v>23</v>
      </c>
      <c r="E327" s="2" t="s">
        <v>25</v>
      </c>
      <c r="F327" s="2">
        <v>50</v>
      </c>
      <c r="G327" s="2">
        <v>1</v>
      </c>
      <c r="H327" s="2">
        <v>45</v>
      </c>
      <c r="I327" s="2">
        <f>IF(H327=0,H327*0%,IF(H327=35,H327*2%,IF(H327=60,H327*5%,IF(H327=100,H327*6%,IF(H327=140,H327*8%,)))))</f>
        <v>0</v>
      </c>
      <c r="J327" s="2">
        <f>(H327-I327)*F327</f>
        <v>2250</v>
      </c>
    </row>
    <row r="328" spans="1:10" ht="16.5" x14ac:dyDescent="0.3">
      <c r="A328" s="4">
        <v>42793</v>
      </c>
      <c r="B328" s="2" t="s">
        <v>15</v>
      </c>
      <c r="C328" s="2">
        <v>1326</v>
      </c>
      <c r="D328" s="2" t="s">
        <v>23</v>
      </c>
      <c r="E328" s="2" t="s">
        <v>21</v>
      </c>
      <c r="F328" s="2">
        <v>30</v>
      </c>
      <c r="G328" s="2">
        <v>1</v>
      </c>
      <c r="H328" s="2">
        <v>130</v>
      </c>
      <c r="I328" s="2">
        <f>IF(H328=0,H328*0%,IF(H328=35,H328*2%,IF(H328=60,H328*5%,IF(H328=100,H328*6%,IF(H328=140,H328*8%,)))))</f>
        <v>0</v>
      </c>
      <c r="J328" s="2">
        <f>(H328-I328)*F328</f>
        <v>3900</v>
      </c>
    </row>
    <row r="329" spans="1:10" ht="16.5" x14ac:dyDescent="0.3">
      <c r="A329" s="4">
        <v>42761</v>
      </c>
      <c r="B329" s="2" t="s">
        <v>15</v>
      </c>
      <c r="C329" s="2">
        <v>1327</v>
      </c>
      <c r="D329" s="2" t="s">
        <v>18</v>
      </c>
      <c r="E329" s="2" t="s">
        <v>22</v>
      </c>
      <c r="F329" s="2">
        <v>30</v>
      </c>
      <c r="G329" s="2">
        <v>1</v>
      </c>
      <c r="H329" s="2">
        <v>80</v>
      </c>
      <c r="I329" s="2">
        <f>IF(H329=0,H329*0%,IF(H329=35,H329*2%,IF(H329=60,H329*5%,IF(H329=100,H329*6%,IF(H329=140,H329*8%,)))))</f>
        <v>0</v>
      </c>
      <c r="J329" s="2">
        <f>(H329-I329)*F329</f>
        <v>2400</v>
      </c>
    </row>
    <row r="330" spans="1:10" ht="16.5" x14ac:dyDescent="0.3">
      <c r="A330" s="4">
        <v>42778</v>
      </c>
      <c r="B330" s="2" t="s">
        <v>13</v>
      </c>
      <c r="C330" s="2">
        <v>1328</v>
      </c>
      <c r="D330" s="2" t="s">
        <v>11</v>
      </c>
      <c r="E330" s="2" t="s">
        <v>25</v>
      </c>
      <c r="F330" s="2">
        <v>50</v>
      </c>
      <c r="G330" s="2">
        <v>1</v>
      </c>
      <c r="H330" s="2">
        <v>160</v>
      </c>
      <c r="I330" s="2">
        <f>IF(H330=0,H330*0%,IF(H330=35,H330*2%,IF(H330=60,H330*5%,IF(H330=100,H330*6%,IF(H330=140,H330*8%,)))))</f>
        <v>0</v>
      </c>
      <c r="J330" s="2">
        <f>(H330-I330)*F330</f>
        <v>8000</v>
      </c>
    </row>
    <row r="331" spans="1:10" ht="16.5" x14ac:dyDescent="0.3">
      <c r="A331" s="4">
        <v>42797</v>
      </c>
      <c r="B331" s="2" t="s">
        <v>13</v>
      </c>
      <c r="C331" s="2">
        <v>1329</v>
      </c>
      <c r="D331" s="2" t="s">
        <v>16</v>
      </c>
      <c r="E331" s="2" t="s">
        <v>20</v>
      </c>
      <c r="F331" s="2">
        <v>50</v>
      </c>
      <c r="G331" s="2">
        <v>1</v>
      </c>
      <c r="H331" s="2">
        <v>80</v>
      </c>
      <c r="I331" s="2">
        <f>IF(H331=0,H331*0%,IF(H331=35,H331*2%,IF(H331=60,H331*5%,IF(H331=100,H331*6%,IF(H331=140,H331*8%,)))))</f>
        <v>0</v>
      </c>
      <c r="J331" s="2">
        <f>(H331-I331)*F331</f>
        <v>4000</v>
      </c>
    </row>
    <row r="332" spans="1:10" ht="16.5" x14ac:dyDescent="0.3">
      <c r="A332" s="4">
        <v>42874</v>
      </c>
      <c r="B332" s="2" t="s">
        <v>13</v>
      </c>
      <c r="C332" s="2">
        <v>1330</v>
      </c>
      <c r="D332" s="2" t="s">
        <v>16</v>
      </c>
      <c r="E332" s="2" t="s">
        <v>12</v>
      </c>
      <c r="F332" s="2">
        <v>50</v>
      </c>
      <c r="G332" s="2">
        <v>1</v>
      </c>
      <c r="H332" s="2">
        <v>50</v>
      </c>
      <c r="I332" s="2">
        <f>IF(H332=0,H332*0%,IF(H332=35,H332*2%,IF(H332=60,H332*5%,IF(H332=100,H332*6%,IF(H332=140,H332*8%,)))))</f>
        <v>0</v>
      </c>
      <c r="J332" s="2">
        <f>(H332-I332)*F332</f>
        <v>2500</v>
      </c>
    </row>
    <row r="333" spans="1:10" ht="16.5" x14ac:dyDescent="0.3">
      <c r="A333" s="4">
        <v>42879</v>
      </c>
      <c r="B333" s="2" t="s">
        <v>13</v>
      </c>
      <c r="C333" s="2">
        <v>1331</v>
      </c>
      <c r="D333" s="2" t="s">
        <v>27</v>
      </c>
      <c r="E333" s="2" t="s">
        <v>17</v>
      </c>
      <c r="F333" s="2">
        <v>50</v>
      </c>
      <c r="G333" s="2">
        <v>1</v>
      </c>
      <c r="H333" s="2">
        <v>40</v>
      </c>
      <c r="I333" s="2">
        <f>IF(H333=0,H333*0%,IF(H333=35,H333*2%,IF(H333=60,H333*5%,IF(H333=100,H333*6%,IF(H333=140,H333*8%,)))))</f>
        <v>0</v>
      </c>
      <c r="J333" s="2">
        <f>(H333-I333)*F333</f>
        <v>2000</v>
      </c>
    </row>
    <row r="334" spans="1:10" ht="16.5" x14ac:dyDescent="0.3">
      <c r="A334" s="4">
        <v>42766</v>
      </c>
      <c r="B334" s="2" t="s">
        <v>13</v>
      </c>
      <c r="C334" s="2">
        <v>1332</v>
      </c>
      <c r="D334" s="2" t="s">
        <v>27</v>
      </c>
      <c r="E334" s="2" t="s">
        <v>20</v>
      </c>
      <c r="F334" s="2">
        <v>50</v>
      </c>
      <c r="G334" s="2">
        <v>1</v>
      </c>
      <c r="H334" s="2">
        <v>75</v>
      </c>
      <c r="I334" s="2">
        <f>IF(H334=0,H334*0%,IF(H334=35,H334*2%,IF(H334=60,H334*5%,IF(H334=100,H334*6%,IF(H334=140,H334*8%,)))))</f>
        <v>0</v>
      </c>
      <c r="J334" s="2">
        <f>(H334-I334)*F334</f>
        <v>3750</v>
      </c>
    </row>
    <row r="335" spans="1:10" ht="16.5" x14ac:dyDescent="0.3">
      <c r="A335" s="4">
        <v>42828</v>
      </c>
      <c r="B335" s="2" t="s">
        <v>15</v>
      </c>
      <c r="C335" s="2">
        <v>1333</v>
      </c>
      <c r="D335" s="2" t="s">
        <v>14</v>
      </c>
      <c r="E335" s="2" t="s">
        <v>24</v>
      </c>
      <c r="F335" s="2">
        <v>30</v>
      </c>
      <c r="G335" s="2">
        <v>1</v>
      </c>
      <c r="H335" s="2">
        <v>110</v>
      </c>
      <c r="I335" s="2">
        <f>IF(H335=0,H335*0%,IF(H335=35,H335*2%,IF(H335=60,H335*5%,IF(H335=100,H335*6%,IF(H335=140,H335*8%,)))))</f>
        <v>0</v>
      </c>
      <c r="J335" s="2">
        <f>(H335-I335)*F335</f>
        <v>3300</v>
      </c>
    </row>
    <row r="336" spans="1:10" ht="16.5" x14ac:dyDescent="0.3">
      <c r="A336" s="4">
        <v>42747</v>
      </c>
      <c r="B336" s="2" t="s">
        <v>15</v>
      </c>
      <c r="C336" s="2">
        <v>1334</v>
      </c>
      <c r="D336" s="2" t="s">
        <v>27</v>
      </c>
      <c r="E336" s="2" t="s">
        <v>24</v>
      </c>
      <c r="F336" s="2">
        <v>30</v>
      </c>
      <c r="G336" s="2">
        <v>1</v>
      </c>
      <c r="H336" s="2">
        <v>80</v>
      </c>
      <c r="I336" s="2">
        <f>IF(H336=0,H336*0%,IF(H336=35,H336*2%,IF(H336=60,H336*5%,IF(H336=100,H336*6%,IF(H336=140,H336*8%,)))))</f>
        <v>0</v>
      </c>
      <c r="J336" s="2">
        <f>(H336-I336)*F336</f>
        <v>2400</v>
      </c>
    </row>
    <row r="337" spans="1:10" ht="16.5" x14ac:dyDescent="0.3">
      <c r="A337" s="4">
        <v>42833</v>
      </c>
      <c r="B337" s="2" t="s">
        <v>15</v>
      </c>
      <c r="C337" s="2">
        <v>1335</v>
      </c>
      <c r="D337" s="2" t="s">
        <v>14</v>
      </c>
      <c r="E337" s="2" t="s">
        <v>20</v>
      </c>
      <c r="F337" s="2">
        <v>30</v>
      </c>
      <c r="G337" s="2">
        <v>1</v>
      </c>
      <c r="H337" s="2">
        <v>40</v>
      </c>
      <c r="I337" s="2">
        <f>IF(H337=0,H337*0%,IF(H337=35,H337*2%,IF(H337=60,H337*5%,IF(H337=100,H337*6%,IF(H337=140,H337*8%,)))))</f>
        <v>0</v>
      </c>
      <c r="J337" s="2">
        <f>(H337-I337)*F337</f>
        <v>1200</v>
      </c>
    </row>
    <row r="338" spans="1:10" ht="16.5" x14ac:dyDescent="0.3">
      <c r="A338" s="4">
        <v>42913</v>
      </c>
      <c r="B338" s="2" t="s">
        <v>15</v>
      </c>
      <c r="C338" s="2">
        <v>1336</v>
      </c>
      <c r="D338" s="2" t="s">
        <v>27</v>
      </c>
      <c r="E338" s="2" t="s">
        <v>17</v>
      </c>
      <c r="F338" s="2">
        <v>30</v>
      </c>
      <c r="G338" s="2">
        <v>1</v>
      </c>
      <c r="H338" s="2">
        <v>45</v>
      </c>
      <c r="I338" s="2">
        <f>IF(H338=0,H338*0%,IF(H338=35,H338*2%,IF(H338=60,H338*5%,IF(H338=100,H338*6%,IF(H338=140,H338*8%,)))))</f>
        <v>0</v>
      </c>
      <c r="J338" s="2">
        <f>(H338-I338)*F338</f>
        <v>1350</v>
      </c>
    </row>
    <row r="339" spans="1:10" ht="16.5" x14ac:dyDescent="0.3">
      <c r="A339" s="4">
        <v>42834</v>
      </c>
      <c r="B339" s="2" t="s">
        <v>10</v>
      </c>
      <c r="C339" s="2">
        <v>1337</v>
      </c>
      <c r="D339" s="2" t="s">
        <v>14</v>
      </c>
      <c r="E339" s="2" t="s">
        <v>22</v>
      </c>
      <c r="F339" s="2">
        <v>70</v>
      </c>
      <c r="G339" s="2">
        <v>1</v>
      </c>
      <c r="H339" s="2">
        <v>120</v>
      </c>
      <c r="I339" s="2">
        <f>IF(H339=0,H339*0%,IF(H339=35,H339*2%,IF(H339=60,H339*5%,IF(H339=100,H339*6%,IF(H339=140,H339*8%,)))))</f>
        <v>0</v>
      </c>
      <c r="J339" s="2">
        <f>(H339-I339)*F339</f>
        <v>8400</v>
      </c>
    </row>
    <row r="340" spans="1:10" ht="16.5" x14ac:dyDescent="0.3">
      <c r="A340" s="4">
        <v>42907</v>
      </c>
      <c r="B340" s="2" t="s">
        <v>13</v>
      </c>
      <c r="C340" s="2">
        <v>1338</v>
      </c>
      <c r="D340" s="2" t="s">
        <v>27</v>
      </c>
      <c r="E340" s="2" t="s">
        <v>24</v>
      </c>
      <c r="F340" s="2">
        <v>50</v>
      </c>
      <c r="G340" s="2">
        <v>1</v>
      </c>
      <c r="H340" s="2">
        <v>115</v>
      </c>
      <c r="I340" s="2">
        <f>IF(H340=0,H340*0%,IF(H340=35,H340*2%,IF(H340=60,H340*5%,IF(H340=100,H340*6%,IF(H340=140,H340*8%,)))))</f>
        <v>0</v>
      </c>
      <c r="J340" s="2">
        <f>(H340-I340)*F340</f>
        <v>5750</v>
      </c>
    </row>
    <row r="341" spans="1:10" ht="16.5" x14ac:dyDescent="0.3">
      <c r="A341" s="4">
        <v>42800</v>
      </c>
      <c r="B341" s="2" t="s">
        <v>15</v>
      </c>
      <c r="C341" s="2">
        <v>1339</v>
      </c>
      <c r="D341" s="2" t="s">
        <v>27</v>
      </c>
      <c r="E341" s="2" t="s">
        <v>25</v>
      </c>
      <c r="F341" s="2">
        <v>30</v>
      </c>
      <c r="G341" s="2">
        <v>1</v>
      </c>
      <c r="H341" s="2">
        <v>80</v>
      </c>
      <c r="I341" s="2">
        <f>IF(H341=0,H341*0%,IF(H341=35,H341*2%,IF(H341=60,H341*5%,IF(H341=100,H341*6%,IF(H341=140,H341*8%,)))))</f>
        <v>0</v>
      </c>
      <c r="J341" s="2">
        <f>(H341-I341)*F341</f>
        <v>2400</v>
      </c>
    </row>
    <row r="342" spans="1:10" ht="16.5" x14ac:dyDescent="0.3">
      <c r="A342" s="4">
        <v>42816</v>
      </c>
      <c r="B342" s="2" t="s">
        <v>10</v>
      </c>
      <c r="C342" s="2">
        <v>1340</v>
      </c>
      <c r="D342" s="2" t="s">
        <v>18</v>
      </c>
      <c r="E342" s="2" t="s">
        <v>26</v>
      </c>
      <c r="F342" s="2">
        <v>70</v>
      </c>
      <c r="G342" s="2">
        <v>1</v>
      </c>
      <c r="H342" s="2">
        <v>160</v>
      </c>
      <c r="I342" s="2">
        <f>IF(H342=0,H342*0%,IF(H342=35,H342*2%,IF(H342=60,H342*5%,IF(H342=100,H342*6%,IF(H342=140,H342*8%,)))))</f>
        <v>0</v>
      </c>
      <c r="J342" s="2">
        <f>(H342-I342)*F342</f>
        <v>11200</v>
      </c>
    </row>
    <row r="343" spans="1:10" ht="16.5" x14ac:dyDescent="0.3">
      <c r="A343" s="4">
        <v>42785</v>
      </c>
      <c r="B343" s="2" t="s">
        <v>10</v>
      </c>
      <c r="C343" s="2">
        <v>1341</v>
      </c>
      <c r="D343" s="2" t="s">
        <v>14</v>
      </c>
      <c r="E343" s="2" t="s">
        <v>19</v>
      </c>
      <c r="F343" s="2">
        <v>70</v>
      </c>
      <c r="G343" s="2">
        <v>1</v>
      </c>
      <c r="H343" s="2">
        <v>45</v>
      </c>
      <c r="I343" s="2">
        <f>IF(H343=0,H343*0%,IF(H343=35,H343*2%,IF(H343=60,H343*5%,IF(H343=100,H343*6%,IF(H343=140,H343*8%,)))))</f>
        <v>0</v>
      </c>
      <c r="J343" s="2">
        <f>(H343-I343)*F343</f>
        <v>3150</v>
      </c>
    </row>
    <row r="344" spans="1:10" ht="16.5" x14ac:dyDescent="0.3">
      <c r="A344" s="4">
        <v>42789</v>
      </c>
      <c r="B344" s="2" t="s">
        <v>10</v>
      </c>
      <c r="C344" s="2">
        <v>1342</v>
      </c>
      <c r="D344" s="2" t="s">
        <v>14</v>
      </c>
      <c r="E344" s="2" t="s">
        <v>19</v>
      </c>
      <c r="F344" s="2">
        <v>70</v>
      </c>
      <c r="G344" s="2">
        <v>1</v>
      </c>
      <c r="H344" s="2">
        <v>80</v>
      </c>
      <c r="I344" s="2">
        <f>IF(H344=0,H344*0%,IF(H344=35,H344*2%,IF(H344=60,H344*5%,IF(H344=100,H344*6%,IF(H344=140,H344*8%,)))))</f>
        <v>0</v>
      </c>
      <c r="J344" s="2">
        <f>(H344-I344)*F344</f>
        <v>5600</v>
      </c>
    </row>
    <row r="345" spans="1:10" ht="16.5" x14ac:dyDescent="0.3">
      <c r="A345" s="4">
        <v>42750</v>
      </c>
      <c r="B345" s="2" t="s">
        <v>15</v>
      </c>
      <c r="C345" s="2">
        <v>1343</v>
      </c>
      <c r="D345" s="2" t="s">
        <v>23</v>
      </c>
      <c r="E345" s="2" t="s">
        <v>25</v>
      </c>
      <c r="F345" s="2">
        <v>30</v>
      </c>
      <c r="G345" s="2">
        <v>1</v>
      </c>
      <c r="H345" s="2">
        <v>80</v>
      </c>
      <c r="I345" s="2">
        <f>IF(H345=0,H345*0%,IF(H345=35,H345*2%,IF(H345=60,H345*5%,IF(H345=100,H345*6%,IF(H345=140,H345*8%,)))))</f>
        <v>0</v>
      </c>
      <c r="J345" s="2">
        <f>(H345-I345)*F345</f>
        <v>2400</v>
      </c>
    </row>
    <row r="346" spans="1:10" ht="16.5" x14ac:dyDescent="0.3">
      <c r="A346" s="4">
        <v>42818</v>
      </c>
      <c r="B346" s="2" t="s">
        <v>13</v>
      </c>
      <c r="C346" s="2">
        <v>1344</v>
      </c>
      <c r="D346" s="2" t="s">
        <v>23</v>
      </c>
      <c r="E346" s="2" t="s">
        <v>20</v>
      </c>
      <c r="F346" s="2">
        <v>50</v>
      </c>
      <c r="G346" s="2">
        <v>1</v>
      </c>
      <c r="H346" s="2">
        <v>50</v>
      </c>
      <c r="I346" s="2">
        <f>IF(H346=0,H346*0%,IF(H346=35,H346*2%,IF(H346=60,H346*5%,IF(H346=100,H346*6%,IF(H346=140,H346*8%,)))))</f>
        <v>0</v>
      </c>
      <c r="J346" s="2">
        <f>(H346-I346)*F346</f>
        <v>2500</v>
      </c>
    </row>
    <row r="347" spans="1:10" ht="16.5" x14ac:dyDescent="0.3">
      <c r="A347" s="4">
        <v>42806</v>
      </c>
      <c r="B347" s="2" t="s">
        <v>10</v>
      </c>
      <c r="C347" s="2">
        <v>1345</v>
      </c>
      <c r="D347" s="2" t="s">
        <v>14</v>
      </c>
      <c r="E347" s="2" t="s">
        <v>12</v>
      </c>
      <c r="F347" s="2">
        <v>70</v>
      </c>
      <c r="G347" s="2">
        <v>1</v>
      </c>
      <c r="H347" s="2">
        <v>130</v>
      </c>
      <c r="I347" s="2">
        <f>IF(H347=0,H347*0%,IF(H347=35,H347*2%,IF(H347=60,H347*5%,IF(H347=100,H347*6%,IF(H347=140,H347*8%,)))))</f>
        <v>0</v>
      </c>
      <c r="J347" s="2">
        <f>(H347-I347)*F347</f>
        <v>9100</v>
      </c>
    </row>
    <row r="348" spans="1:10" ht="16.5" x14ac:dyDescent="0.3">
      <c r="A348" s="4">
        <v>42806</v>
      </c>
      <c r="B348" s="2" t="s">
        <v>10</v>
      </c>
      <c r="C348" s="2">
        <v>1346</v>
      </c>
      <c r="D348" s="2" t="s">
        <v>14</v>
      </c>
      <c r="E348" s="2" t="s">
        <v>25</v>
      </c>
      <c r="F348" s="2">
        <v>70</v>
      </c>
      <c r="G348" s="2">
        <v>1</v>
      </c>
      <c r="H348" s="2">
        <v>45</v>
      </c>
      <c r="I348" s="2">
        <f>IF(H348=0,H348*0%,IF(H348=35,H348*2%,IF(H348=60,H348*5%,IF(H348=100,H348*6%,IF(H348=140,H348*8%,)))))</f>
        <v>0</v>
      </c>
      <c r="J348" s="2">
        <f>(H348-I348)*F348</f>
        <v>3150</v>
      </c>
    </row>
    <row r="349" spans="1:10" ht="16.5" x14ac:dyDescent="0.3">
      <c r="A349" s="4">
        <v>42767</v>
      </c>
      <c r="B349" s="2" t="s">
        <v>10</v>
      </c>
      <c r="C349" s="2">
        <v>1347</v>
      </c>
      <c r="D349" s="2" t="s">
        <v>27</v>
      </c>
      <c r="E349" s="2" t="s">
        <v>25</v>
      </c>
      <c r="F349" s="2">
        <v>70</v>
      </c>
      <c r="G349" s="2">
        <v>1</v>
      </c>
      <c r="H349" s="2">
        <v>90</v>
      </c>
      <c r="I349" s="2">
        <f>IF(H349=0,H349*0%,IF(H349=35,H349*2%,IF(H349=60,H349*5%,IF(H349=100,H349*6%,IF(H349=140,H349*8%,)))))</f>
        <v>0</v>
      </c>
      <c r="J349" s="2">
        <f>(H349-I349)*F349</f>
        <v>6300</v>
      </c>
    </row>
    <row r="350" spans="1:10" ht="16.5" x14ac:dyDescent="0.3">
      <c r="A350" s="4">
        <v>42782</v>
      </c>
      <c r="B350" s="2" t="s">
        <v>13</v>
      </c>
      <c r="C350" s="2">
        <v>1348</v>
      </c>
      <c r="D350" s="2" t="s">
        <v>23</v>
      </c>
      <c r="E350" s="2" t="s">
        <v>17</v>
      </c>
      <c r="F350" s="2">
        <v>50</v>
      </c>
      <c r="G350" s="2">
        <v>1</v>
      </c>
      <c r="H350" s="2">
        <v>160</v>
      </c>
      <c r="I350" s="2">
        <f>IF(H350=0,H350*0%,IF(H350=35,H350*2%,IF(H350=60,H350*5%,IF(H350=100,H350*6%,IF(H350=140,H350*8%,)))))</f>
        <v>0</v>
      </c>
      <c r="J350" s="2">
        <f>(H350-I350)*F350</f>
        <v>8000</v>
      </c>
    </row>
    <row r="351" spans="1:10" ht="16.5" x14ac:dyDescent="0.3">
      <c r="A351" s="4">
        <v>42834</v>
      </c>
      <c r="B351" s="2" t="s">
        <v>15</v>
      </c>
      <c r="C351" s="2">
        <v>1349</v>
      </c>
      <c r="D351" s="2" t="s">
        <v>23</v>
      </c>
      <c r="E351" s="2" t="s">
        <v>20</v>
      </c>
      <c r="F351" s="2">
        <v>30</v>
      </c>
      <c r="G351" s="2">
        <v>1</v>
      </c>
      <c r="H351" s="2">
        <v>100</v>
      </c>
      <c r="I351" s="2">
        <f>IF(H351=0,H351*0%,IF(H351=35,H351*2%,IF(H351=60,H351*5%,IF(H351=100,H351*6%,IF(H351=140,H351*8%,)))))</f>
        <v>6</v>
      </c>
      <c r="J351" s="2">
        <f>(H351-I351)*F351</f>
        <v>2820</v>
      </c>
    </row>
    <row r="352" spans="1:10" ht="16.5" x14ac:dyDescent="0.3">
      <c r="A352" s="4">
        <v>42907</v>
      </c>
      <c r="B352" s="2" t="s">
        <v>13</v>
      </c>
      <c r="C352" s="2">
        <v>1350</v>
      </c>
      <c r="D352" s="2" t="s">
        <v>11</v>
      </c>
      <c r="E352" s="2" t="s">
        <v>28</v>
      </c>
      <c r="F352" s="2">
        <v>50</v>
      </c>
      <c r="G352" s="2">
        <v>1</v>
      </c>
      <c r="H352" s="2">
        <v>130</v>
      </c>
      <c r="I352" s="2">
        <f>IF(H352=0,H352*0%,IF(H352=35,H352*2%,IF(H352=60,H352*5%,IF(H352=100,H352*6%,IF(H352=140,H352*8%,)))))</f>
        <v>0</v>
      </c>
      <c r="J352" s="2">
        <f>(H352-I352)*F352</f>
        <v>6500</v>
      </c>
    </row>
    <row r="353" spans="1:10" ht="16.5" x14ac:dyDescent="0.3">
      <c r="A353" s="4">
        <v>42747</v>
      </c>
      <c r="B353" s="2" t="s">
        <v>10</v>
      </c>
      <c r="C353" s="2">
        <v>1351</v>
      </c>
      <c r="D353" s="2" t="s">
        <v>23</v>
      </c>
      <c r="E353" s="2" t="s">
        <v>22</v>
      </c>
      <c r="F353" s="2">
        <v>70</v>
      </c>
      <c r="G353" s="2">
        <v>1</v>
      </c>
      <c r="H353" s="2">
        <v>80</v>
      </c>
      <c r="I353" s="2">
        <f>IF(H353=0,H353*0%,IF(H353=35,H353*2%,IF(H353=60,H353*5%,IF(H353=100,H353*6%,IF(H353=140,H353*8%,)))))</f>
        <v>0</v>
      </c>
      <c r="J353" s="2">
        <f>(H353-I353)*F353</f>
        <v>5600</v>
      </c>
    </row>
    <row r="354" spans="1:10" ht="16.5" x14ac:dyDescent="0.3">
      <c r="A354" s="4">
        <v>42848</v>
      </c>
      <c r="B354" s="2" t="s">
        <v>15</v>
      </c>
      <c r="C354" s="2">
        <v>1352</v>
      </c>
      <c r="D354" s="2" t="s">
        <v>16</v>
      </c>
      <c r="E354" s="2" t="s">
        <v>12</v>
      </c>
      <c r="F354" s="2">
        <v>30</v>
      </c>
      <c r="G354" s="2">
        <v>1</v>
      </c>
      <c r="H354" s="2">
        <v>80</v>
      </c>
      <c r="I354" s="2">
        <f>IF(H354=0,H354*0%,IF(H354=35,H354*2%,IF(H354=60,H354*5%,IF(H354=100,H354*6%,IF(H354=140,H354*8%,)))))</f>
        <v>0</v>
      </c>
      <c r="J354" s="2">
        <f>(H354-I354)*F354</f>
        <v>2400</v>
      </c>
    </row>
    <row r="355" spans="1:10" ht="16.5" x14ac:dyDescent="0.3">
      <c r="A355" s="4">
        <v>42894</v>
      </c>
      <c r="B355" s="2" t="s">
        <v>15</v>
      </c>
      <c r="C355" s="2">
        <v>1353</v>
      </c>
      <c r="D355" s="2" t="s">
        <v>14</v>
      </c>
      <c r="E355" s="2" t="s">
        <v>24</v>
      </c>
      <c r="F355" s="2">
        <v>30</v>
      </c>
      <c r="G355" s="2">
        <v>1</v>
      </c>
      <c r="H355" s="2">
        <v>130</v>
      </c>
      <c r="I355" s="2">
        <f>IF(H355=0,H355*0%,IF(H355=35,H355*2%,IF(H355=60,H355*5%,IF(H355=100,H355*6%,IF(H355=140,H355*8%,)))))</f>
        <v>0</v>
      </c>
      <c r="J355" s="2">
        <f>(H355-I355)*F355</f>
        <v>3900</v>
      </c>
    </row>
    <row r="356" spans="1:10" ht="16.5" x14ac:dyDescent="0.3">
      <c r="A356" s="4">
        <v>42916</v>
      </c>
      <c r="B356" s="2" t="s">
        <v>15</v>
      </c>
      <c r="C356" s="2">
        <v>1354</v>
      </c>
      <c r="D356" s="2" t="s">
        <v>11</v>
      </c>
      <c r="E356" s="2" t="s">
        <v>22</v>
      </c>
      <c r="F356" s="2">
        <v>30</v>
      </c>
      <c r="G356" s="2">
        <v>1</v>
      </c>
      <c r="H356" s="2">
        <v>90</v>
      </c>
      <c r="I356" s="2">
        <f>IF(H356=0,H356*0%,IF(H356=35,H356*2%,IF(H356=60,H356*5%,IF(H356=100,H356*6%,IF(H356=140,H356*8%,)))))</f>
        <v>0</v>
      </c>
      <c r="J356" s="2">
        <f>(H356-I356)*F356</f>
        <v>2700</v>
      </c>
    </row>
    <row r="357" spans="1:10" ht="16.5" x14ac:dyDescent="0.3">
      <c r="A357" s="4">
        <v>42815</v>
      </c>
      <c r="B357" s="2" t="s">
        <v>15</v>
      </c>
      <c r="C357" s="2">
        <v>1355</v>
      </c>
      <c r="D357" s="2" t="s">
        <v>11</v>
      </c>
      <c r="E357" s="2" t="s">
        <v>24</v>
      </c>
      <c r="F357" s="2">
        <v>30</v>
      </c>
      <c r="G357" s="2">
        <v>1</v>
      </c>
      <c r="H357" s="2">
        <v>45</v>
      </c>
      <c r="I357" s="2">
        <f>IF(H357=0,H357*0%,IF(H357=35,H357*2%,IF(H357=60,H357*5%,IF(H357=100,H357*6%,IF(H357=140,H357*8%,)))))</f>
        <v>0</v>
      </c>
      <c r="J357" s="2">
        <f>(H357-I357)*F357</f>
        <v>1350</v>
      </c>
    </row>
    <row r="358" spans="1:10" ht="16.5" x14ac:dyDescent="0.3">
      <c r="A358" s="4">
        <v>42905</v>
      </c>
      <c r="B358" s="2" t="s">
        <v>13</v>
      </c>
      <c r="C358" s="2">
        <v>1356</v>
      </c>
      <c r="D358" s="2" t="s">
        <v>16</v>
      </c>
      <c r="E358" s="2" t="s">
        <v>25</v>
      </c>
      <c r="F358" s="2">
        <v>50</v>
      </c>
      <c r="G358" s="2">
        <v>1</v>
      </c>
      <c r="H358" s="2">
        <v>160</v>
      </c>
      <c r="I358" s="2">
        <f>IF(H358=0,H358*0%,IF(H358=35,H358*2%,IF(H358=60,H358*5%,IF(H358=100,H358*6%,IF(H358=140,H358*8%,)))))</f>
        <v>0</v>
      </c>
      <c r="J358" s="2">
        <f>(H358-I358)*F358</f>
        <v>8000</v>
      </c>
    </row>
    <row r="359" spans="1:10" ht="16.5" x14ac:dyDescent="0.3">
      <c r="A359" s="4">
        <v>42814</v>
      </c>
      <c r="B359" s="2" t="s">
        <v>15</v>
      </c>
      <c r="C359" s="2">
        <v>1357</v>
      </c>
      <c r="D359" s="2" t="s">
        <v>27</v>
      </c>
      <c r="E359" s="2" t="s">
        <v>28</v>
      </c>
      <c r="F359" s="2">
        <v>30</v>
      </c>
      <c r="G359" s="2">
        <v>1</v>
      </c>
      <c r="H359" s="2">
        <v>60</v>
      </c>
      <c r="I359" s="2">
        <f>IF(H359=0,H359*0%,IF(H359=35,H359*2%,IF(H359=60,H359*5%,IF(H359=100,H359*6%,IF(H359=140,H359*8%,)))))</f>
        <v>3</v>
      </c>
      <c r="J359" s="2">
        <f>(H359-I359)*F359</f>
        <v>1710</v>
      </c>
    </row>
    <row r="360" spans="1:10" ht="16.5" x14ac:dyDescent="0.3">
      <c r="A360" s="4">
        <v>42830</v>
      </c>
      <c r="B360" s="2" t="s">
        <v>13</v>
      </c>
      <c r="C360" s="2">
        <v>1358</v>
      </c>
      <c r="D360" s="2" t="s">
        <v>18</v>
      </c>
      <c r="E360" s="2" t="s">
        <v>21</v>
      </c>
      <c r="F360" s="2">
        <v>50</v>
      </c>
      <c r="G360" s="2">
        <v>1</v>
      </c>
      <c r="H360" s="2">
        <v>60</v>
      </c>
      <c r="I360" s="2">
        <f>IF(H360=0,H360*0%,IF(H360=35,H360*2%,IF(H360=60,H360*5%,IF(H360=100,H360*6%,IF(H360=140,H360*8%,)))))</f>
        <v>3</v>
      </c>
      <c r="J360" s="2">
        <f>(H360-I360)*F360</f>
        <v>2850</v>
      </c>
    </row>
    <row r="361" spans="1:10" ht="16.5" x14ac:dyDescent="0.3">
      <c r="A361" s="4">
        <v>42814</v>
      </c>
      <c r="B361" s="2" t="s">
        <v>13</v>
      </c>
      <c r="C361" s="2">
        <v>1359</v>
      </c>
      <c r="D361" s="2" t="s">
        <v>16</v>
      </c>
      <c r="E361" s="2" t="s">
        <v>28</v>
      </c>
      <c r="F361" s="2">
        <v>50</v>
      </c>
      <c r="G361" s="2">
        <v>1</v>
      </c>
      <c r="H361" s="2">
        <v>80</v>
      </c>
      <c r="I361" s="2">
        <f>IF(H361=0,H361*0%,IF(H361=35,H361*2%,IF(H361=60,H361*5%,IF(H361=100,H361*6%,IF(H361=140,H361*8%,)))))</f>
        <v>0</v>
      </c>
      <c r="J361" s="2">
        <f>(H361-I361)*F361</f>
        <v>4000</v>
      </c>
    </row>
    <row r="362" spans="1:10" ht="16.5" x14ac:dyDescent="0.3">
      <c r="A362" s="4">
        <v>42855</v>
      </c>
      <c r="B362" s="2" t="s">
        <v>13</v>
      </c>
      <c r="C362" s="2">
        <v>1360</v>
      </c>
      <c r="D362" s="2" t="s">
        <v>18</v>
      </c>
      <c r="E362" s="2" t="s">
        <v>26</v>
      </c>
      <c r="F362" s="2">
        <v>50</v>
      </c>
      <c r="G362" s="2">
        <v>1</v>
      </c>
      <c r="H362" s="2">
        <v>120</v>
      </c>
      <c r="I362" s="2">
        <f>IF(H362=0,H362*0%,IF(H362=35,H362*2%,IF(H362=60,H362*5%,IF(H362=100,H362*6%,IF(H362=140,H362*8%,)))))</f>
        <v>0</v>
      </c>
      <c r="J362" s="2">
        <f>(H362-I362)*F362</f>
        <v>6000</v>
      </c>
    </row>
    <row r="363" spans="1:10" ht="16.5" x14ac:dyDescent="0.3">
      <c r="A363" s="4">
        <v>42906</v>
      </c>
      <c r="B363" s="2" t="s">
        <v>15</v>
      </c>
      <c r="C363" s="2">
        <v>1361</v>
      </c>
      <c r="D363" s="2" t="s">
        <v>18</v>
      </c>
      <c r="E363" s="2" t="s">
        <v>12</v>
      </c>
      <c r="F363" s="2">
        <v>30</v>
      </c>
      <c r="G363" s="2">
        <v>1</v>
      </c>
      <c r="H363" s="2">
        <v>40</v>
      </c>
      <c r="I363" s="2">
        <f>IF(H363=0,H363*0%,IF(H363=35,H363*2%,IF(H363=60,H363*5%,IF(H363=100,H363*6%,IF(H363=140,H363*8%,)))))</f>
        <v>0</v>
      </c>
      <c r="J363" s="2">
        <f>(H363-I363)*F363</f>
        <v>1200</v>
      </c>
    </row>
    <row r="364" spans="1:10" ht="16.5" x14ac:dyDescent="0.3">
      <c r="A364" s="4">
        <v>42891</v>
      </c>
      <c r="B364" s="2" t="s">
        <v>13</v>
      </c>
      <c r="C364" s="2">
        <v>1362</v>
      </c>
      <c r="D364" s="2" t="s">
        <v>14</v>
      </c>
      <c r="E364" s="2" t="s">
        <v>19</v>
      </c>
      <c r="F364" s="2">
        <v>50</v>
      </c>
      <c r="G364" s="2">
        <v>1</v>
      </c>
      <c r="H364" s="2">
        <v>50</v>
      </c>
      <c r="I364" s="2">
        <f>IF(H364=0,H364*0%,IF(H364=35,H364*2%,IF(H364=60,H364*5%,IF(H364=100,H364*6%,IF(H364=140,H364*8%,)))))</f>
        <v>0</v>
      </c>
      <c r="J364" s="2">
        <f>(H364-I364)*F364</f>
        <v>2500</v>
      </c>
    </row>
    <row r="365" spans="1:10" ht="16.5" x14ac:dyDescent="0.3">
      <c r="A365" s="4">
        <v>42861</v>
      </c>
      <c r="B365" s="2" t="s">
        <v>15</v>
      </c>
      <c r="C365" s="2">
        <v>1363</v>
      </c>
      <c r="D365" s="2" t="s">
        <v>14</v>
      </c>
      <c r="E365" s="2" t="s">
        <v>25</v>
      </c>
      <c r="F365" s="2">
        <v>30</v>
      </c>
      <c r="G365" s="2">
        <v>1</v>
      </c>
      <c r="H365" s="2">
        <v>32</v>
      </c>
      <c r="I365" s="2">
        <f>IF(H365=0,H365*0%,IF(H365=35,H365*2%,IF(H365=60,H365*5%,IF(H365=100,H365*6%,IF(H365=140,H365*8%,)))))</f>
        <v>0</v>
      </c>
      <c r="J365" s="2">
        <f>(H365-I365)*F365</f>
        <v>960</v>
      </c>
    </row>
    <row r="366" spans="1:10" ht="16.5" x14ac:dyDescent="0.3">
      <c r="A366" s="4">
        <v>42897</v>
      </c>
      <c r="B366" s="2" t="s">
        <v>15</v>
      </c>
      <c r="C366" s="2">
        <v>1364</v>
      </c>
      <c r="D366" s="2" t="s">
        <v>18</v>
      </c>
      <c r="E366" s="2" t="s">
        <v>24</v>
      </c>
      <c r="F366" s="2">
        <v>30</v>
      </c>
      <c r="G366" s="2">
        <v>1</v>
      </c>
      <c r="H366" s="2">
        <v>75</v>
      </c>
      <c r="I366" s="2">
        <f>IF(H366=0,H366*0%,IF(H366=35,H366*2%,IF(H366=60,H366*5%,IF(H366=100,H366*6%,IF(H366=140,H366*8%,)))))</f>
        <v>0</v>
      </c>
      <c r="J366" s="2">
        <f>(H366-I366)*F366</f>
        <v>2250</v>
      </c>
    </row>
    <row r="367" spans="1:10" ht="16.5" x14ac:dyDescent="0.3">
      <c r="A367" s="4">
        <v>42779</v>
      </c>
      <c r="B367" s="2" t="s">
        <v>15</v>
      </c>
      <c r="C367" s="2">
        <v>1365</v>
      </c>
      <c r="D367" s="2" t="s">
        <v>11</v>
      </c>
      <c r="E367" s="2" t="s">
        <v>22</v>
      </c>
      <c r="F367" s="2">
        <v>30</v>
      </c>
      <c r="G367" s="2">
        <v>1</v>
      </c>
      <c r="H367" s="2">
        <v>105</v>
      </c>
      <c r="I367" s="2">
        <f>IF(H367=0,H367*0%,IF(H367=35,H367*2%,IF(H367=60,H367*5%,IF(H367=100,H367*6%,IF(H367=140,H367*8%,)))))</f>
        <v>0</v>
      </c>
      <c r="J367" s="2">
        <f>(H367-I367)*F367</f>
        <v>3150</v>
      </c>
    </row>
    <row r="368" spans="1:10" ht="16.5" x14ac:dyDescent="0.3">
      <c r="A368" s="4">
        <v>42745</v>
      </c>
      <c r="B368" s="2" t="s">
        <v>13</v>
      </c>
      <c r="C368" s="2">
        <v>1366</v>
      </c>
      <c r="D368" s="2" t="s">
        <v>14</v>
      </c>
      <c r="E368" s="2" t="s">
        <v>17</v>
      </c>
      <c r="F368" s="2">
        <v>50</v>
      </c>
      <c r="G368" s="2">
        <v>1</v>
      </c>
      <c r="H368" s="2">
        <v>80</v>
      </c>
      <c r="I368" s="2">
        <f>IF(H368=0,H368*0%,IF(H368=35,H368*2%,IF(H368=60,H368*5%,IF(H368=100,H368*6%,IF(H368=140,H368*8%,)))))</f>
        <v>0</v>
      </c>
      <c r="J368" s="2">
        <f>(H368-I368)*F368</f>
        <v>4000</v>
      </c>
    </row>
    <row r="369" spans="1:10" ht="16.5" x14ac:dyDescent="0.3">
      <c r="A369" s="4">
        <v>42824</v>
      </c>
      <c r="B369" s="2" t="s">
        <v>10</v>
      </c>
      <c r="C369" s="2">
        <v>1367</v>
      </c>
      <c r="D369" s="2" t="s">
        <v>14</v>
      </c>
      <c r="E369" s="2" t="s">
        <v>12</v>
      </c>
      <c r="F369" s="2">
        <v>70</v>
      </c>
      <c r="G369" s="2">
        <v>1</v>
      </c>
      <c r="H369" s="2">
        <v>45</v>
      </c>
      <c r="I369" s="2">
        <f>IF(H369=0,H369*0%,IF(H369=35,H369*2%,IF(H369=60,H369*5%,IF(H369=100,H369*6%,IF(H369=140,H369*8%,)))))</f>
        <v>0</v>
      </c>
      <c r="J369" s="2">
        <f>(H369-I369)*F369</f>
        <v>3150</v>
      </c>
    </row>
    <row r="370" spans="1:10" ht="16.5" x14ac:dyDescent="0.3">
      <c r="A370" s="4">
        <v>42814</v>
      </c>
      <c r="B370" s="2" t="s">
        <v>13</v>
      </c>
      <c r="C370" s="2">
        <v>1368</v>
      </c>
      <c r="D370" s="2" t="s">
        <v>18</v>
      </c>
      <c r="E370" s="2" t="s">
        <v>17</v>
      </c>
      <c r="F370" s="2">
        <v>50</v>
      </c>
      <c r="G370" s="2">
        <v>1</v>
      </c>
      <c r="H370" s="2">
        <v>130</v>
      </c>
      <c r="I370" s="2">
        <f>IF(H370=0,H370*0%,IF(H370=35,H370*2%,IF(H370=60,H370*5%,IF(H370=100,H370*6%,IF(H370=140,H370*8%,)))))</f>
        <v>0</v>
      </c>
      <c r="J370" s="2">
        <f>(H370-I370)*F370</f>
        <v>6500</v>
      </c>
    </row>
    <row r="371" spans="1:10" ht="16.5" x14ac:dyDescent="0.3">
      <c r="A371" s="4">
        <v>42853</v>
      </c>
      <c r="B371" s="2" t="s">
        <v>10</v>
      </c>
      <c r="C371" s="2">
        <v>1369</v>
      </c>
      <c r="D371" s="2" t="s">
        <v>23</v>
      </c>
      <c r="E371" s="2" t="s">
        <v>20</v>
      </c>
      <c r="F371" s="2">
        <v>70</v>
      </c>
      <c r="G371" s="2">
        <v>3</v>
      </c>
      <c r="H371" s="2">
        <v>90</v>
      </c>
      <c r="I371" s="2">
        <f>IF(H371=0,H371*0%,IF(H371=35,H371*2%,IF(H371=60,H371*5%,IF(H371=100,H371*6%,IF(H371=140,H371*8%,)))))</f>
        <v>0</v>
      </c>
      <c r="J371" s="2">
        <f>(H371-I371)*F371</f>
        <v>6300</v>
      </c>
    </row>
    <row r="372" spans="1:10" ht="16.5" x14ac:dyDescent="0.3">
      <c r="A372" s="4">
        <v>42766</v>
      </c>
      <c r="B372" s="2" t="s">
        <v>10</v>
      </c>
      <c r="C372" s="2">
        <v>1370</v>
      </c>
      <c r="D372" s="2" t="s">
        <v>27</v>
      </c>
      <c r="E372" s="2" t="s">
        <v>28</v>
      </c>
      <c r="F372" s="2">
        <v>70</v>
      </c>
      <c r="G372" s="2">
        <v>1</v>
      </c>
      <c r="H372" s="2">
        <v>35</v>
      </c>
      <c r="I372" s="2">
        <f>IF(H372=0,H372*0%,IF(H372=35,H372*2%,IF(H372=60,H372*5%,IF(H372=100,H372*6%,IF(H372=140,H372*8%,)))))</f>
        <v>0.70000000000000007</v>
      </c>
      <c r="J372" s="2">
        <f>(H372-I372)*F372</f>
        <v>2401</v>
      </c>
    </row>
    <row r="373" spans="1:10" ht="16.5" x14ac:dyDescent="0.3">
      <c r="A373" s="4">
        <v>42904</v>
      </c>
      <c r="B373" s="2" t="s">
        <v>15</v>
      </c>
      <c r="C373" s="2">
        <v>1371</v>
      </c>
      <c r="D373" s="2" t="s">
        <v>27</v>
      </c>
      <c r="E373" s="2" t="s">
        <v>21</v>
      </c>
      <c r="F373" s="2">
        <v>30</v>
      </c>
      <c r="G373" s="2">
        <v>1</v>
      </c>
      <c r="H373" s="2">
        <v>75</v>
      </c>
      <c r="I373" s="2">
        <f>IF(H373=0,H373*0%,IF(H373=35,H373*2%,IF(H373=60,H373*5%,IF(H373=100,H373*6%,IF(H373=140,H373*8%,)))))</f>
        <v>0</v>
      </c>
      <c r="J373" s="2">
        <f>(H373-I373)*F373</f>
        <v>2250</v>
      </c>
    </row>
    <row r="374" spans="1:10" ht="16.5" x14ac:dyDescent="0.3">
      <c r="A374" s="4">
        <v>42791</v>
      </c>
      <c r="B374" s="2" t="s">
        <v>10</v>
      </c>
      <c r="C374" s="2">
        <v>1372</v>
      </c>
      <c r="D374" s="2" t="s">
        <v>14</v>
      </c>
      <c r="E374" s="2" t="s">
        <v>21</v>
      </c>
      <c r="F374" s="2">
        <v>70</v>
      </c>
      <c r="G374" s="2">
        <v>2</v>
      </c>
      <c r="H374" s="2">
        <v>80</v>
      </c>
      <c r="I374" s="2">
        <f>IF(H374=0,H374*0%,IF(H374=35,H374*2%,IF(H374=60,H374*5%,IF(H374=100,H374*6%,IF(H374=140,H374*8%,)))))</f>
        <v>0</v>
      </c>
      <c r="J374" s="2">
        <f>(H374-I374)*F374</f>
        <v>5600</v>
      </c>
    </row>
    <row r="375" spans="1:10" ht="16.5" x14ac:dyDescent="0.3">
      <c r="A375" s="4">
        <v>42860</v>
      </c>
      <c r="B375" s="2" t="s">
        <v>13</v>
      </c>
      <c r="C375" s="2">
        <v>1373</v>
      </c>
      <c r="D375" s="2" t="s">
        <v>11</v>
      </c>
      <c r="E375" s="2" t="s">
        <v>12</v>
      </c>
      <c r="F375" s="2">
        <v>50</v>
      </c>
      <c r="G375" s="2">
        <v>1</v>
      </c>
      <c r="H375" s="2">
        <v>80</v>
      </c>
      <c r="I375" s="2">
        <f>IF(H375=0,H375*0%,IF(H375=35,H375*2%,IF(H375=60,H375*5%,IF(H375=100,H375*6%,IF(H375=140,H375*8%,)))))</f>
        <v>0</v>
      </c>
      <c r="J375" s="2">
        <f>(H375-I375)*F375</f>
        <v>4000</v>
      </c>
    </row>
    <row r="376" spans="1:10" ht="16.5" x14ac:dyDescent="0.3">
      <c r="A376" s="4">
        <v>42745</v>
      </c>
      <c r="B376" s="2" t="s">
        <v>13</v>
      </c>
      <c r="C376" s="2">
        <v>1374</v>
      </c>
      <c r="D376" s="2" t="s">
        <v>23</v>
      </c>
      <c r="E376" s="2" t="s">
        <v>20</v>
      </c>
      <c r="F376" s="2">
        <v>50</v>
      </c>
      <c r="G376" s="2">
        <v>1</v>
      </c>
      <c r="H376" s="2">
        <v>75</v>
      </c>
      <c r="I376" s="2">
        <f>IF(H376=0,H376*0%,IF(H376=35,H376*2%,IF(H376=60,H376*5%,IF(H376=100,H376*6%,IF(H376=140,H376*8%,)))))</f>
        <v>0</v>
      </c>
      <c r="J376" s="2">
        <f>(H376-I376)*F376</f>
        <v>3750</v>
      </c>
    </row>
    <row r="377" spans="1:10" ht="16.5" x14ac:dyDescent="0.3">
      <c r="A377" s="4">
        <v>42801</v>
      </c>
      <c r="B377" s="2" t="s">
        <v>15</v>
      </c>
      <c r="C377" s="2">
        <v>1375</v>
      </c>
      <c r="D377" s="2" t="s">
        <v>27</v>
      </c>
      <c r="E377" s="2" t="s">
        <v>24</v>
      </c>
      <c r="F377" s="2">
        <v>30</v>
      </c>
      <c r="G377" s="2">
        <v>1</v>
      </c>
      <c r="H377" s="2">
        <v>130</v>
      </c>
      <c r="I377" s="2">
        <f>IF(H377=0,H377*0%,IF(H377=35,H377*2%,IF(H377=60,H377*5%,IF(H377=100,H377*6%,IF(H377=140,H377*8%,)))))</f>
        <v>0</v>
      </c>
      <c r="J377" s="2">
        <f>(H377-I377)*F377</f>
        <v>3900</v>
      </c>
    </row>
    <row r="378" spans="1:10" ht="16.5" x14ac:dyDescent="0.3">
      <c r="A378" s="4">
        <v>42791</v>
      </c>
      <c r="B378" s="2" t="s">
        <v>15</v>
      </c>
      <c r="C378" s="2">
        <v>1376</v>
      </c>
      <c r="D378" s="2" t="s">
        <v>11</v>
      </c>
      <c r="E378" s="2" t="s">
        <v>26</v>
      </c>
      <c r="F378" s="2">
        <v>30</v>
      </c>
      <c r="G378" s="2">
        <v>1</v>
      </c>
      <c r="H378" s="2">
        <v>90</v>
      </c>
      <c r="I378" s="2">
        <f>IF(H378=0,H378*0%,IF(H378=35,H378*2%,IF(H378=60,H378*5%,IF(H378=100,H378*6%,IF(H378=140,H378*8%,)))))</f>
        <v>0</v>
      </c>
      <c r="J378" s="2">
        <f>(H378-I378)*F378</f>
        <v>2700</v>
      </c>
    </row>
    <row r="379" spans="1:10" ht="16.5" x14ac:dyDescent="0.3">
      <c r="A379" s="4">
        <v>42861</v>
      </c>
      <c r="B379" s="2" t="s">
        <v>13</v>
      </c>
      <c r="C379" s="2">
        <v>1377</v>
      </c>
      <c r="D379" s="2" t="s">
        <v>11</v>
      </c>
      <c r="E379" s="2" t="s">
        <v>21</v>
      </c>
      <c r="F379" s="2">
        <v>50</v>
      </c>
      <c r="G379" s="2">
        <v>1</v>
      </c>
      <c r="H379" s="2">
        <v>45</v>
      </c>
      <c r="I379" s="2">
        <f>IF(H379=0,H379*0%,IF(H379=35,H379*2%,IF(H379=60,H379*5%,IF(H379=100,H379*6%,IF(H379=140,H379*8%,)))))</f>
        <v>0</v>
      </c>
      <c r="J379" s="2">
        <f>(H379-I379)*F379</f>
        <v>2250</v>
      </c>
    </row>
    <row r="380" spans="1:10" ht="16.5" x14ac:dyDescent="0.3">
      <c r="A380" s="4">
        <v>42794</v>
      </c>
      <c r="B380" s="2" t="s">
        <v>15</v>
      </c>
      <c r="C380" s="2">
        <v>1378</v>
      </c>
      <c r="D380" s="2" t="s">
        <v>14</v>
      </c>
      <c r="E380" s="2" t="s">
        <v>26</v>
      </c>
      <c r="F380" s="2">
        <v>30</v>
      </c>
      <c r="G380" s="2">
        <v>1</v>
      </c>
      <c r="H380" s="2">
        <v>80</v>
      </c>
      <c r="I380" s="2">
        <f>IF(H380=0,H380*0%,IF(H380=35,H380*2%,IF(H380=60,H380*5%,IF(H380=100,H380*6%,IF(H380=140,H380*8%,)))))</f>
        <v>0</v>
      </c>
      <c r="J380" s="2">
        <f>(H380-I380)*F380</f>
        <v>2400</v>
      </c>
    </row>
    <row r="381" spans="1:10" ht="16.5" x14ac:dyDescent="0.3">
      <c r="A381" s="4">
        <v>42851</v>
      </c>
      <c r="B381" s="2" t="s">
        <v>10</v>
      </c>
      <c r="C381" s="2">
        <v>1379</v>
      </c>
      <c r="D381" s="2" t="s">
        <v>18</v>
      </c>
      <c r="E381" s="2" t="s">
        <v>20</v>
      </c>
      <c r="F381" s="2">
        <v>70</v>
      </c>
      <c r="G381" s="2">
        <v>3</v>
      </c>
      <c r="H381" s="2">
        <v>40</v>
      </c>
      <c r="I381" s="2">
        <f>IF(H381=0,H381*0%,IF(H381=35,H381*2%,IF(H381=60,H381*5%,IF(H381=100,H381*6%,IF(H381=140,H381*8%,)))))</f>
        <v>0</v>
      </c>
      <c r="J381" s="2">
        <f>(H381-I381)*F381</f>
        <v>2800</v>
      </c>
    </row>
    <row r="382" spans="1:10" ht="16.5" x14ac:dyDescent="0.3">
      <c r="A382" s="4">
        <v>42744</v>
      </c>
      <c r="B382" s="2" t="s">
        <v>10</v>
      </c>
      <c r="C382" s="2">
        <v>1380</v>
      </c>
      <c r="D382" s="2" t="s">
        <v>11</v>
      </c>
      <c r="E382" s="2" t="s">
        <v>20</v>
      </c>
      <c r="F382" s="2">
        <v>70</v>
      </c>
      <c r="G382" s="2">
        <v>3</v>
      </c>
      <c r="H382" s="2">
        <v>105</v>
      </c>
      <c r="I382" s="2">
        <f>IF(H382=0,H382*0%,IF(H382=35,H382*2%,IF(H382=60,H382*5%,IF(H382=100,H382*6%,IF(H382=140,H382*8%,)))))</f>
        <v>0</v>
      </c>
      <c r="J382" s="2">
        <f>(H382-I382)*F382</f>
        <v>7350</v>
      </c>
    </row>
    <row r="383" spans="1:10" ht="16.5" x14ac:dyDescent="0.3">
      <c r="A383" s="4">
        <v>42915</v>
      </c>
      <c r="B383" s="2" t="s">
        <v>10</v>
      </c>
      <c r="C383" s="2">
        <v>1381</v>
      </c>
      <c r="D383" s="2" t="s">
        <v>18</v>
      </c>
      <c r="E383" s="2" t="s">
        <v>28</v>
      </c>
      <c r="F383" s="2">
        <v>70</v>
      </c>
      <c r="G383" s="2">
        <v>1</v>
      </c>
      <c r="H383" s="2">
        <v>115</v>
      </c>
      <c r="I383" s="2">
        <f>IF(H383=0,H383*0%,IF(H383=35,H383*2%,IF(H383=60,H383*5%,IF(H383=100,H383*6%,IF(H383=140,H383*8%,)))))</f>
        <v>0</v>
      </c>
      <c r="J383" s="2">
        <f>(H383-I383)*F383</f>
        <v>8050</v>
      </c>
    </row>
    <row r="384" spans="1:10" ht="16.5" x14ac:dyDescent="0.3">
      <c r="A384" s="4">
        <v>42764</v>
      </c>
      <c r="B384" s="2" t="s">
        <v>15</v>
      </c>
      <c r="C384" s="2">
        <v>1382</v>
      </c>
      <c r="D384" s="2" t="s">
        <v>16</v>
      </c>
      <c r="E384" s="2" t="s">
        <v>12</v>
      </c>
      <c r="F384" s="2">
        <v>30</v>
      </c>
      <c r="G384" s="2">
        <v>1</v>
      </c>
      <c r="H384" s="2">
        <v>80</v>
      </c>
      <c r="I384" s="2">
        <f>IF(H384=0,H384*0%,IF(H384=35,H384*2%,IF(H384=60,H384*5%,IF(H384=100,H384*6%,IF(H384=140,H384*8%,)))))</f>
        <v>0</v>
      </c>
      <c r="J384" s="2">
        <f>(H384-I384)*F384</f>
        <v>2400</v>
      </c>
    </row>
    <row r="385" spans="1:10" ht="16.5" x14ac:dyDescent="0.3">
      <c r="A385" s="4">
        <v>42907</v>
      </c>
      <c r="B385" s="2" t="s">
        <v>10</v>
      </c>
      <c r="C385" s="2">
        <v>1383</v>
      </c>
      <c r="D385" s="2" t="s">
        <v>23</v>
      </c>
      <c r="E385" s="2" t="s">
        <v>26</v>
      </c>
      <c r="F385" s="2">
        <v>70</v>
      </c>
      <c r="G385" s="2">
        <v>1</v>
      </c>
      <c r="H385" s="2">
        <v>75</v>
      </c>
      <c r="I385" s="2">
        <f>IF(H385=0,H385*0%,IF(H385=35,H385*2%,IF(H385=60,H385*5%,IF(H385=100,H385*6%,IF(H385=140,H385*8%,)))))</f>
        <v>0</v>
      </c>
      <c r="J385" s="2">
        <f>(H385-I385)*F385</f>
        <v>5250</v>
      </c>
    </row>
    <row r="386" spans="1:10" ht="16.5" x14ac:dyDescent="0.3">
      <c r="A386" s="4">
        <v>42767</v>
      </c>
      <c r="B386" s="2" t="s">
        <v>10</v>
      </c>
      <c r="C386" s="2">
        <v>1384</v>
      </c>
      <c r="D386" s="2" t="s">
        <v>11</v>
      </c>
      <c r="E386" s="2" t="s">
        <v>26</v>
      </c>
      <c r="F386" s="2">
        <v>70</v>
      </c>
      <c r="G386" s="2">
        <v>1</v>
      </c>
      <c r="H386" s="2">
        <v>120</v>
      </c>
      <c r="I386" s="2">
        <f>IF(H386=0,H386*0%,IF(H386=35,H386*2%,IF(H386=60,H386*5%,IF(H386=100,H386*6%,IF(H386=140,H386*8%,)))))</f>
        <v>0</v>
      </c>
      <c r="J386" s="2">
        <f>(H386-I386)*F386</f>
        <v>8400</v>
      </c>
    </row>
    <row r="387" spans="1:10" ht="16.5" x14ac:dyDescent="0.3">
      <c r="A387" s="4">
        <v>42749</v>
      </c>
      <c r="B387" s="2" t="s">
        <v>10</v>
      </c>
      <c r="C387" s="2">
        <v>1385</v>
      </c>
      <c r="D387" s="2" t="s">
        <v>16</v>
      </c>
      <c r="E387" s="2" t="s">
        <v>28</v>
      </c>
      <c r="F387" s="2">
        <v>70</v>
      </c>
      <c r="G387" s="2">
        <v>1</v>
      </c>
      <c r="H387" s="2">
        <v>75</v>
      </c>
      <c r="I387" s="2">
        <f>IF(H387=0,H387*0%,IF(H387=35,H387*2%,IF(H387=60,H387*5%,IF(H387=100,H387*6%,IF(H387=140,H387*8%,)))))</f>
        <v>0</v>
      </c>
      <c r="J387" s="2">
        <f>(H387-I387)*F387</f>
        <v>5250</v>
      </c>
    </row>
    <row r="388" spans="1:10" ht="16.5" x14ac:dyDescent="0.3">
      <c r="A388" s="4">
        <v>42839</v>
      </c>
      <c r="B388" s="2" t="s">
        <v>15</v>
      </c>
      <c r="C388" s="2">
        <v>1386</v>
      </c>
      <c r="D388" s="2" t="s">
        <v>16</v>
      </c>
      <c r="E388" s="2" t="s">
        <v>17</v>
      </c>
      <c r="F388" s="2">
        <v>30</v>
      </c>
      <c r="G388" s="2">
        <v>1</v>
      </c>
      <c r="H388" s="2">
        <v>50</v>
      </c>
      <c r="I388" s="2">
        <f>IF(H388=0,H388*0%,IF(H388=35,H388*2%,IF(H388=60,H388*5%,IF(H388=100,H388*6%,IF(H388=140,H388*8%,)))))</f>
        <v>0</v>
      </c>
      <c r="J388" s="2">
        <f>(H388-I388)*F388</f>
        <v>1500</v>
      </c>
    </row>
    <row r="389" spans="1:10" ht="16.5" x14ac:dyDescent="0.3">
      <c r="A389" s="4">
        <v>42881</v>
      </c>
      <c r="B389" s="2" t="s">
        <v>10</v>
      </c>
      <c r="C389" s="2">
        <v>1387</v>
      </c>
      <c r="D389" s="2" t="s">
        <v>14</v>
      </c>
      <c r="E389" s="2" t="s">
        <v>21</v>
      </c>
      <c r="F389" s="2">
        <v>70</v>
      </c>
      <c r="G389" s="2">
        <v>2</v>
      </c>
      <c r="H389" s="2">
        <v>45</v>
      </c>
      <c r="I389" s="2">
        <f>IF(H389=0,H389*0%,IF(H389=35,H389*2%,IF(H389=60,H389*5%,IF(H389=100,H389*6%,IF(H389=140,H389*8%,)))))</f>
        <v>0</v>
      </c>
      <c r="J389" s="2">
        <f>(H389-I389)*F389</f>
        <v>3150</v>
      </c>
    </row>
    <row r="390" spans="1:10" ht="16.5" x14ac:dyDescent="0.3">
      <c r="A390" s="4">
        <v>42900</v>
      </c>
      <c r="B390" s="2" t="s">
        <v>10</v>
      </c>
      <c r="C390" s="2">
        <v>1388</v>
      </c>
      <c r="D390" s="2" t="s">
        <v>16</v>
      </c>
      <c r="E390" s="2" t="s">
        <v>28</v>
      </c>
      <c r="F390" s="2">
        <v>70</v>
      </c>
      <c r="G390" s="2">
        <v>1</v>
      </c>
      <c r="H390" s="2">
        <v>130</v>
      </c>
      <c r="I390" s="2">
        <f>IF(H390=0,H390*0%,IF(H390=35,H390*2%,IF(H390=60,H390*5%,IF(H390=100,H390*6%,IF(H390=140,H390*8%,)))))</f>
        <v>0</v>
      </c>
      <c r="J390" s="2">
        <f>(H390-I390)*F390</f>
        <v>9100</v>
      </c>
    </row>
    <row r="391" spans="1:10" ht="16.5" x14ac:dyDescent="0.3">
      <c r="A391" s="4">
        <v>42782</v>
      </c>
      <c r="B391" s="2" t="s">
        <v>15</v>
      </c>
      <c r="C391" s="2">
        <v>1389</v>
      </c>
      <c r="D391" s="2" t="s">
        <v>11</v>
      </c>
      <c r="E391" s="2" t="s">
        <v>12</v>
      </c>
      <c r="F391" s="2">
        <v>30</v>
      </c>
      <c r="G391" s="2">
        <v>1</v>
      </c>
      <c r="H391" s="2">
        <v>90</v>
      </c>
      <c r="I391" s="2">
        <f>IF(H391=0,H391*0%,IF(H391=35,H391*2%,IF(H391=60,H391*5%,IF(H391=100,H391*6%,IF(H391=140,H391*8%,)))))</f>
        <v>0</v>
      </c>
      <c r="J391" s="2">
        <f>(H391-I391)*F391</f>
        <v>2700</v>
      </c>
    </row>
    <row r="392" spans="1:10" ht="16.5" x14ac:dyDescent="0.3">
      <c r="A392" s="4">
        <v>42904</v>
      </c>
      <c r="B392" s="2" t="s">
        <v>13</v>
      </c>
      <c r="C392" s="2">
        <v>1390</v>
      </c>
      <c r="D392" s="2" t="s">
        <v>23</v>
      </c>
      <c r="E392" s="2" t="s">
        <v>21</v>
      </c>
      <c r="F392" s="2">
        <v>50</v>
      </c>
      <c r="G392" s="2">
        <v>1</v>
      </c>
      <c r="H392" s="2">
        <v>45</v>
      </c>
      <c r="I392" s="2">
        <f>IF(H392=0,H392*0%,IF(H392=35,H392*2%,IF(H392=60,H392*5%,IF(H392=100,H392*6%,IF(H392=140,H392*8%,)))))</f>
        <v>0</v>
      </c>
      <c r="J392" s="2">
        <f>(H392-I392)*F392</f>
        <v>2250</v>
      </c>
    </row>
    <row r="393" spans="1:10" ht="16.5" x14ac:dyDescent="0.3">
      <c r="A393" s="4">
        <v>42867</v>
      </c>
      <c r="B393" s="2" t="s">
        <v>13</v>
      </c>
      <c r="C393" s="2">
        <v>1391</v>
      </c>
      <c r="D393" s="2" t="s">
        <v>27</v>
      </c>
      <c r="E393" s="2" t="s">
        <v>17</v>
      </c>
      <c r="F393" s="2">
        <v>50</v>
      </c>
      <c r="G393" s="2">
        <v>1</v>
      </c>
      <c r="H393" s="2">
        <v>50</v>
      </c>
      <c r="I393" s="2">
        <f>IF(H393=0,H393*0%,IF(H393=35,H393*2%,IF(H393=60,H393*5%,IF(H393=100,H393*6%,IF(H393=140,H393*8%,)))))</f>
        <v>0</v>
      </c>
      <c r="J393" s="2">
        <f>(H393-I393)*F393</f>
        <v>2500</v>
      </c>
    </row>
    <row r="394" spans="1:10" ht="16.5" x14ac:dyDescent="0.3">
      <c r="A394" s="4">
        <v>42874</v>
      </c>
      <c r="B394" s="2" t="s">
        <v>13</v>
      </c>
      <c r="C394" s="2">
        <v>1392</v>
      </c>
      <c r="D394" s="2" t="s">
        <v>27</v>
      </c>
      <c r="E394" s="2" t="s">
        <v>25</v>
      </c>
      <c r="F394" s="2">
        <v>50</v>
      </c>
      <c r="G394" s="2">
        <v>1</v>
      </c>
      <c r="H394" s="2">
        <v>50</v>
      </c>
      <c r="I394" s="2">
        <f>IF(H394=0,H394*0%,IF(H394=35,H394*2%,IF(H394=60,H394*5%,IF(H394=100,H394*6%,IF(H394=140,H394*8%,)))))</f>
        <v>0</v>
      </c>
      <c r="J394" s="2">
        <f>(H394-I394)*F394</f>
        <v>2500</v>
      </c>
    </row>
    <row r="395" spans="1:10" ht="16.5" x14ac:dyDescent="0.3">
      <c r="A395" s="4">
        <v>42856</v>
      </c>
      <c r="B395" s="2" t="s">
        <v>13</v>
      </c>
      <c r="C395" s="2">
        <v>1393</v>
      </c>
      <c r="D395" s="2" t="s">
        <v>11</v>
      </c>
      <c r="E395" s="2" t="s">
        <v>20</v>
      </c>
      <c r="F395" s="2">
        <v>50</v>
      </c>
      <c r="G395" s="2">
        <v>1</v>
      </c>
      <c r="H395" s="2">
        <v>45</v>
      </c>
      <c r="I395" s="2">
        <f>IF(H395=0,H395*0%,IF(H395=35,H395*2%,IF(H395=60,H395*5%,IF(H395=100,H395*6%,IF(H395=140,H395*8%,)))))</f>
        <v>0</v>
      </c>
      <c r="J395" s="2">
        <f>(H395-I395)*F395</f>
        <v>2250</v>
      </c>
    </row>
    <row r="396" spans="1:10" ht="16.5" x14ac:dyDescent="0.3">
      <c r="A396" s="4">
        <v>42819</v>
      </c>
      <c r="B396" s="2" t="s">
        <v>15</v>
      </c>
      <c r="C396" s="2">
        <v>1394</v>
      </c>
      <c r="D396" s="2" t="s">
        <v>14</v>
      </c>
      <c r="E396" s="2" t="s">
        <v>28</v>
      </c>
      <c r="F396" s="2">
        <v>30</v>
      </c>
      <c r="G396" s="2">
        <v>1</v>
      </c>
      <c r="H396" s="2">
        <v>130</v>
      </c>
      <c r="I396" s="2">
        <f>IF(H396=0,H396*0%,IF(H396=35,H396*2%,IF(H396=60,H396*5%,IF(H396=100,H396*6%,IF(H396=140,H396*8%,)))))</f>
        <v>0</v>
      </c>
      <c r="J396" s="2">
        <f>(H396-I396)*F396</f>
        <v>3900</v>
      </c>
    </row>
    <row r="397" spans="1:10" ht="16.5" x14ac:dyDescent="0.3">
      <c r="A397" s="4">
        <v>42755</v>
      </c>
      <c r="B397" s="2" t="s">
        <v>13</v>
      </c>
      <c r="C397" s="2">
        <v>1395</v>
      </c>
      <c r="D397" s="2" t="s">
        <v>23</v>
      </c>
      <c r="E397" s="2" t="s">
        <v>24</v>
      </c>
      <c r="F397" s="2">
        <v>50</v>
      </c>
      <c r="G397" s="2">
        <v>1</v>
      </c>
      <c r="H397" s="2">
        <v>80</v>
      </c>
      <c r="I397" s="2">
        <f>IF(H397=0,H397*0%,IF(H397=35,H397*2%,IF(H397=60,H397*5%,IF(H397=100,H397*6%,IF(H397=140,H397*8%,)))))</f>
        <v>0</v>
      </c>
      <c r="J397" s="2">
        <f>(H397-I397)*F397</f>
        <v>4000</v>
      </c>
    </row>
    <row r="398" spans="1:10" ht="16.5" x14ac:dyDescent="0.3">
      <c r="A398" s="4">
        <v>42913</v>
      </c>
      <c r="B398" s="2" t="s">
        <v>15</v>
      </c>
      <c r="C398" s="2">
        <v>1396</v>
      </c>
      <c r="D398" s="2" t="s">
        <v>18</v>
      </c>
      <c r="E398" s="2" t="s">
        <v>19</v>
      </c>
      <c r="F398" s="2">
        <v>30</v>
      </c>
      <c r="G398" s="2">
        <v>1</v>
      </c>
      <c r="H398" s="2">
        <v>50</v>
      </c>
      <c r="I398" s="2">
        <f>IF(H398=0,H398*0%,IF(H398=35,H398*2%,IF(H398=60,H398*5%,IF(H398=100,H398*6%,IF(H398=140,H398*8%,)))))</f>
        <v>0</v>
      </c>
      <c r="J398" s="2">
        <f>(H398-I398)*F398</f>
        <v>1500</v>
      </c>
    </row>
    <row r="399" spans="1:10" ht="16.5" x14ac:dyDescent="0.3">
      <c r="A399" s="4">
        <v>42806</v>
      </c>
      <c r="B399" s="2" t="s">
        <v>13</v>
      </c>
      <c r="C399" s="2">
        <v>1397</v>
      </c>
      <c r="D399" s="2" t="s">
        <v>11</v>
      </c>
      <c r="E399" s="2" t="s">
        <v>19</v>
      </c>
      <c r="F399" s="2">
        <v>50</v>
      </c>
      <c r="G399" s="2">
        <v>1</v>
      </c>
      <c r="H399" s="2">
        <v>75</v>
      </c>
      <c r="I399" s="2">
        <f>IF(H399=0,H399*0%,IF(H399=35,H399*2%,IF(H399=60,H399*5%,IF(H399=100,H399*6%,IF(H399=140,H399*8%,)))))</f>
        <v>0</v>
      </c>
      <c r="J399" s="2">
        <f>(H399-I399)*F399</f>
        <v>3750</v>
      </c>
    </row>
    <row r="400" spans="1:10" ht="16.5" x14ac:dyDescent="0.3">
      <c r="A400" s="4">
        <v>42865</v>
      </c>
      <c r="B400" s="2" t="s">
        <v>10</v>
      </c>
      <c r="C400" s="2">
        <v>1398</v>
      </c>
      <c r="D400" s="2" t="s">
        <v>18</v>
      </c>
      <c r="E400" s="2" t="s">
        <v>19</v>
      </c>
      <c r="F400" s="2">
        <v>70</v>
      </c>
      <c r="G400" s="2">
        <v>1</v>
      </c>
      <c r="H400" s="2">
        <v>80</v>
      </c>
      <c r="I400" s="2">
        <f>IF(H400=0,H400*0%,IF(H400=35,H400*2%,IF(H400=60,H400*5%,IF(H400=100,H400*6%,IF(H400=140,H400*8%,)))))</f>
        <v>0</v>
      </c>
      <c r="J400" s="2">
        <f>(H400-I400)*F400</f>
        <v>5600</v>
      </c>
    </row>
    <row r="401" spans="1:10" ht="16.5" x14ac:dyDescent="0.3">
      <c r="A401" s="4">
        <v>42903</v>
      </c>
      <c r="B401" s="2" t="s">
        <v>10</v>
      </c>
      <c r="C401" s="2">
        <v>1399</v>
      </c>
      <c r="D401" s="2" t="s">
        <v>11</v>
      </c>
      <c r="E401" s="2" t="s">
        <v>19</v>
      </c>
      <c r="F401" s="2">
        <v>70</v>
      </c>
      <c r="G401" s="2">
        <v>1</v>
      </c>
      <c r="H401" s="2">
        <v>45</v>
      </c>
      <c r="I401" s="2">
        <f>IF(H401=0,H401*0%,IF(H401=35,H401*2%,IF(H401=60,H401*5%,IF(H401=100,H401*6%,IF(H401=140,H401*8%,)))))</f>
        <v>0</v>
      </c>
      <c r="J401" s="2">
        <f>(H401-I401)*F401</f>
        <v>3150</v>
      </c>
    </row>
    <row r="402" spans="1:10" ht="16.5" x14ac:dyDescent="0.3">
      <c r="A402" s="4">
        <v>42752</v>
      </c>
      <c r="B402" s="2" t="s">
        <v>10</v>
      </c>
      <c r="C402" s="2">
        <v>1400</v>
      </c>
      <c r="D402" s="2" t="s">
        <v>11</v>
      </c>
      <c r="E402" s="2" t="s">
        <v>12</v>
      </c>
      <c r="F402" s="2">
        <v>70</v>
      </c>
      <c r="G402" s="2">
        <v>1</v>
      </c>
      <c r="H402" s="2">
        <v>115</v>
      </c>
      <c r="I402" s="2">
        <f>IF(H402=0,H402*0%,IF(H402=35,H402*2%,IF(H402=60,H402*5%,IF(H402=100,H402*6%,IF(H402=140,H402*8%,)))))</f>
        <v>0</v>
      </c>
      <c r="J402" s="2">
        <f>(H402-I402)*F402</f>
        <v>8050</v>
      </c>
    </row>
    <row r="403" spans="1:10" ht="16.5" x14ac:dyDescent="0.3">
      <c r="A403" s="4">
        <v>42847</v>
      </c>
      <c r="B403" s="2" t="s">
        <v>13</v>
      </c>
      <c r="C403" s="2">
        <v>1401</v>
      </c>
      <c r="D403" s="2" t="s">
        <v>14</v>
      </c>
      <c r="E403" s="2" t="s">
        <v>12</v>
      </c>
      <c r="F403" s="2">
        <v>50</v>
      </c>
      <c r="G403" s="2">
        <v>1</v>
      </c>
      <c r="H403" s="2">
        <v>60</v>
      </c>
      <c r="I403" s="2">
        <f>IF(H403=0,H403*0%,IF(H403=35,H403*2%,IF(H403=60,H403*5%,IF(H403=100,H403*6%,IF(H403=140,H403*8%,)))))</f>
        <v>3</v>
      </c>
      <c r="J403" s="2">
        <f>(H403-I403)*F403</f>
        <v>2850</v>
      </c>
    </row>
    <row r="404" spans="1:10" ht="16.5" x14ac:dyDescent="0.3">
      <c r="A404" s="4">
        <v>42913</v>
      </c>
      <c r="B404" s="2" t="s">
        <v>15</v>
      </c>
      <c r="C404" s="2">
        <v>1402</v>
      </c>
      <c r="D404" s="2" t="s">
        <v>16</v>
      </c>
      <c r="E404" s="2" t="s">
        <v>12</v>
      </c>
      <c r="F404" s="2">
        <v>30</v>
      </c>
      <c r="G404" s="2">
        <v>1</v>
      </c>
      <c r="H404" s="2">
        <v>110</v>
      </c>
      <c r="I404" s="2">
        <f>IF(H404=0,H404*0%,IF(H404=35,H404*2%,IF(H404=60,H404*5%,IF(H404=100,H404*6%,IF(H404=140,H404*8%,)))))</f>
        <v>0</v>
      </c>
      <c r="J404" s="2">
        <f>(H404-I404)*F404</f>
        <v>3300</v>
      </c>
    </row>
    <row r="405" spans="1:10" ht="16.5" x14ac:dyDescent="0.3">
      <c r="A405" s="4">
        <v>42887</v>
      </c>
      <c r="B405" s="2" t="s">
        <v>10</v>
      </c>
      <c r="C405" s="2">
        <v>1403</v>
      </c>
      <c r="D405" s="2" t="s">
        <v>16</v>
      </c>
      <c r="E405" s="2" t="s">
        <v>17</v>
      </c>
      <c r="F405" s="2">
        <v>70</v>
      </c>
      <c r="G405" s="2">
        <v>1</v>
      </c>
      <c r="H405" s="2">
        <v>40</v>
      </c>
      <c r="I405" s="2">
        <f>IF(H405=0,H405*0%,IF(H405=35,H405*2%,IF(H405=60,H405*5%,IF(H405=100,H405*6%,IF(H405=140,H405*8%,)))))</f>
        <v>0</v>
      </c>
      <c r="J405" s="2">
        <f>(H405-I405)*F405</f>
        <v>2800</v>
      </c>
    </row>
    <row r="406" spans="1:10" ht="16.5" x14ac:dyDescent="0.3">
      <c r="A406" s="4">
        <v>42787</v>
      </c>
      <c r="B406" s="2" t="s">
        <v>13</v>
      </c>
      <c r="C406" s="2">
        <v>1404</v>
      </c>
      <c r="D406" s="2" t="s">
        <v>18</v>
      </c>
      <c r="E406" s="2" t="s">
        <v>19</v>
      </c>
      <c r="F406" s="2">
        <v>50</v>
      </c>
      <c r="G406" s="2">
        <v>1</v>
      </c>
      <c r="H406" s="2">
        <v>40</v>
      </c>
      <c r="I406" s="2">
        <f>IF(H406=0,H406*0%,IF(H406=35,H406*2%,IF(H406=60,H406*5%,IF(H406=100,H406*6%,IF(H406=140,H406*8%,)))))</f>
        <v>0</v>
      </c>
      <c r="J406" s="2">
        <f>(H406-I406)*F406</f>
        <v>2000</v>
      </c>
    </row>
    <row r="407" spans="1:10" ht="16.5" x14ac:dyDescent="0.3">
      <c r="A407" s="4">
        <v>42843</v>
      </c>
      <c r="B407" s="2" t="s">
        <v>13</v>
      </c>
      <c r="C407" s="2">
        <v>1405</v>
      </c>
      <c r="D407" s="2" t="s">
        <v>16</v>
      </c>
      <c r="E407" s="2" t="s">
        <v>20</v>
      </c>
      <c r="F407" s="2">
        <v>50</v>
      </c>
      <c r="G407" s="2">
        <v>1</v>
      </c>
      <c r="H407" s="2">
        <v>90</v>
      </c>
      <c r="I407" s="2">
        <f>IF(H407=0,H407*0%,IF(H407=35,H407*2%,IF(H407=60,H407*5%,IF(H407=100,H407*6%,IF(H407=140,H407*8%,)))))</f>
        <v>0</v>
      </c>
      <c r="J407" s="2">
        <f>(H407-I407)*F407</f>
        <v>4500</v>
      </c>
    </row>
    <row r="408" spans="1:10" ht="16.5" x14ac:dyDescent="0.3">
      <c r="A408" s="4">
        <v>42883</v>
      </c>
      <c r="B408" s="2" t="s">
        <v>13</v>
      </c>
      <c r="C408" s="2">
        <v>1406</v>
      </c>
      <c r="D408" s="2" t="s">
        <v>14</v>
      </c>
      <c r="E408" s="2" t="s">
        <v>21</v>
      </c>
      <c r="F408" s="2">
        <v>50</v>
      </c>
      <c r="G408" s="2">
        <v>1</v>
      </c>
      <c r="H408" s="2">
        <v>50</v>
      </c>
      <c r="I408" s="2">
        <f>IF(H408=0,H408*0%,IF(H408=35,H408*2%,IF(H408=60,H408*5%,IF(H408=100,H408*6%,IF(H408=140,H408*8%,)))))</f>
        <v>0</v>
      </c>
      <c r="J408" s="2">
        <f>(H408-I408)*F408</f>
        <v>2500</v>
      </c>
    </row>
    <row r="409" spans="1:10" ht="16.5" x14ac:dyDescent="0.3">
      <c r="A409" s="4">
        <v>42737</v>
      </c>
      <c r="B409" s="2" t="s">
        <v>15</v>
      </c>
      <c r="C409" s="2">
        <v>1407</v>
      </c>
      <c r="D409" s="2" t="s">
        <v>16</v>
      </c>
      <c r="E409" s="2" t="s">
        <v>22</v>
      </c>
      <c r="F409" s="2">
        <v>30</v>
      </c>
      <c r="G409" s="2">
        <v>1</v>
      </c>
      <c r="H409" s="2">
        <v>160</v>
      </c>
      <c r="I409" s="2">
        <f>IF(H409=0,H409*0%,IF(H409=35,H409*2%,IF(H409=60,H409*5%,IF(H409=100,H409*6%,IF(H409=140,H409*8%,)))))</f>
        <v>0</v>
      </c>
      <c r="J409" s="2">
        <f>(H409-I409)*F409</f>
        <v>4800</v>
      </c>
    </row>
    <row r="410" spans="1:10" ht="16.5" x14ac:dyDescent="0.3">
      <c r="A410" s="4">
        <v>42883</v>
      </c>
      <c r="B410" s="2" t="s">
        <v>10</v>
      </c>
      <c r="C410" s="2">
        <v>1408</v>
      </c>
      <c r="D410" s="2" t="s">
        <v>23</v>
      </c>
      <c r="E410" s="2" t="s">
        <v>24</v>
      </c>
      <c r="F410" s="2">
        <v>70</v>
      </c>
      <c r="G410" s="2">
        <v>1</v>
      </c>
      <c r="H410" s="2">
        <v>105</v>
      </c>
      <c r="I410" s="2">
        <f>IF(H410=0,H410*0%,IF(H410=35,H410*2%,IF(H410=60,H410*5%,IF(H410=100,H410*6%,IF(H410=140,H410*8%,)))))</f>
        <v>0</v>
      </c>
      <c r="J410" s="2">
        <f>(H410-I410)*F410</f>
        <v>7350</v>
      </c>
    </row>
    <row r="411" spans="1:10" ht="16.5" x14ac:dyDescent="0.3">
      <c r="A411" s="4">
        <v>42786</v>
      </c>
      <c r="B411" s="2" t="s">
        <v>15</v>
      </c>
      <c r="C411" s="2">
        <v>1409</v>
      </c>
      <c r="D411" s="2" t="s">
        <v>14</v>
      </c>
      <c r="E411" s="2" t="s">
        <v>19</v>
      </c>
      <c r="F411" s="2">
        <v>30</v>
      </c>
      <c r="G411" s="2">
        <v>1</v>
      </c>
      <c r="H411" s="2">
        <v>60</v>
      </c>
      <c r="I411" s="2">
        <f>IF(H411=0,H411*0%,IF(H411=35,H411*2%,IF(H411=60,H411*5%,IF(H411=100,H411*6%,IF(H411=140,H411*8%,)))))</f>
        <v>3</v>
      </c>
      <c r="J411" s="2">
        <f>(H411-I411)*F411</f>
        <v>1710</v>
      </c>
    </row>
    <row r="412" spans="1:10" ht="16.5" x14ac:dyDescent="0.3">
      <c r="A412" s="4">
        <v>42896</v>
      </c>
      <c r="B412" s="2" t="s">
        <v>13</v>
      </c>
      <c r="C412" s="2">
        <v>1410</v>
      </c>
      <c r="D412" s="2" t="s">
        <v>23</v>
      </c>
      <c r="E412" s="2" t="s">
        <v>25</v>
      </c>
      <c r="F412" s="2">
        <v>50</v>
      </c>
      <c r="G412" s="2">
        <v>1</v>
      </c>
      <c r="H412" s="2">
        <v>160</v>
      </c>
      <c r="I412" s="2">
        <f>IF(H412=0,H412*0%,IF(H412=35,H412*2%,IF(H412=60,H412*5%,IF(H412=100,H412*6%,IF(H412=140,H412*8%,)))))</f>
        <v>0</v>
      </c>
      <c r="J412" s="2">
        <f>(H412-I412)*F412</f>
        <v>8000</v>
      </c>
    </row>
    <row r="413" spans="1:10" ht="16.5" x14ac:dyDescent="0.3">
      <c r="A413" s="4">
        <v>42910</v>
      </c>
      <c r="B413" s="2" t="s">
        <v>15</v>
      </c>
      <c r="C413" s="2">
        <v>1411</v>
      </c>
      <c r="D413" s="2" t="s">
        <v>18</v>
      </c>
      <c r="E413" s="2" t="s">
        <v>17</v>
      </c>
      <c r="F413" s="2">
        <v>30</v>
      </c>
      <c r="G413" s="2">
        <v>1</v>
      </c>
      <c r="H413" s="2">
        <v>35</v>
      </c>
      <c r="I413" s="2">
        <f>IF(H413=0,H413*0%,IF(H413=35,H413*2%,IF(H413=60,H413*5%,IF(H413=100,H413*6%,IF(H413=140,H413*8%,)))))</f>
        <v>0.70000000000000007</v>
      </c>
      <c r="J413" s="2">
        <f>(H413-I413)*F413</f>
        <v>1029</v>
      </c>
    </row>
    <row r="414" spans="1:10" ht="16.5" x14ac:dyDescent="0.3">
      <c r="A414" s="4">
        <v>42797</v>
      </c>
      <c r="B414" s="2" t="s">
        <v>15</v>
      </c>
      <c r="C414" s="2">
        <v>1412</v>
      </c>
      <c r="D414" s="2" t="s">
        <v>14</v>
      </c>
      <c r="E414" s="2" t="s">
        <v>20</v>
      </c>
      <c r="F414" s="2">
        <v>30</v>
      </c>
      <c r="G414" s="2">
        <v>1</v>
      </c>
      <c r="H414" s="2">
        <v>40</v>
      </c>
      <c r="I414" s="2">
        <f>IF(H414=0,H414*0%,IF(H414=35,H414*2%,IF(H414=60,H414*5%,IF(H414=100,H414*6%,IF(H414=140,H414*8%,)))))</f>
        <v>0</v>
      </c>
      <c r="J414" s="2">
        <f>(H414-I414)*F414</f>
        <v>1200</v>
      </c>
    </row>
    <row r="415" spans="1:10" ht="16.5" x14ac:dyDescent="0.3">
      <c r="A415" s="4">
        <v>42806</v>
      </c>
      <c r="B415" s="2" t="s">
        <v>15</v>
      </c>
      <c r="C415" s="2">
        <v>1413</v>
      </c>
      <c r="D415" s="2" t="s">
        <v>18</v>
      </c>
      <c r="E415" s="2" t="s">
        <v>21</v>
      </c>
      <c r="F415" s="2">
        <v>30</v>
      </c>
      <c r="G415" s="2">
        <v>1</v>
      </c>
      <c r="H415" s="2">
        <v>160</v>
      </c>
      <c r="I415" s="2">
        <f>IF(H415=0,H415*0%,IF(H415=35,H415*2%,IF(H415=60,H415*5%,IF(H415=100,H415*6%,IF(H415=140,H415*8%,)))))</f>
        <v>0</v>
      </c>
      <c r="J415" s="2">
        <f>(H415-I415)*F415</f>
        <v>4800</v>
      </c>
    </row>
    <row r="416" spans="1:10" ht="16.5" x14ac:dyDescent="0.3">
      <c r="A416" s="4">
        <v>42809</v>
      </c>
      <c r="B416" s="2" t="s">
        <v>13</v>
      </c>
      <c r="C416" s="2">
        <v>1414</v>
      </c>
      <c r="D416" s="2" t="s">
        <v>16</v>
      </c>
      <c r="E416" s="2" t="s">
        <v>26</v>
      </c>
      <c r="F416" s="2">
        <v>50</v>
      </c>
      <c r="G416" s="2">
        <v>1</v>
      </c>
      <c r="H416" s="2">
        <v>100</v>
      </c>
      <c r="I416" s="2">
        <f>IF(H416=0,H416*0%,IF(H416=35,H416*2%,IF(H416=60,H416*5%,IF(H416=100,H416*6%,IF(H416=140,H416*8%,)))))</f>
        <v>6</v>
      </c>
      <c r="J416" s="2">
        <f>(H416-I416)*F416</f>
        <v>4700</v>
      </c>
    </row>
    <row r="417" spans="1:10" ht="16.5" x14ac:dyDescent="0.3">
      <c r="A417" s="4">
        <v>42795</v>
      </c>
      <c r="B417" s="2" t="s">
        <v>10</v>
      </c>
      <c r="C417" s="2">
        <v>1415</v>
      </c>
      <c r="D417" s="2" t="s">
        <v>16</v>
      </c>
      <c r="E417" s="2" t="s">
        <v>20</v>
      </c>
      <c r="F417" s="2">
        <v>70</v>
      </c>
      <c r="G417" s="2">
        <v>3</v>
      </c>
      <c r="H417" s="2">
        <v>50</v>
      </c>
      <c r="I417" s="2">
        <f>IF(H417=0,H417*0%,IF(H417=35,H417*2%,IF(H417=60,H417*5%,IF(H417=100,H417*6%,IF(H417=140,H417*8%,)))))</f>
        <v>0</v>
      </c>
      <c r="J417" s="2">
        <f>(H417-I417)*F417</f>
        <v>3500</v>
      </c>
    </row>
    <row r="418" spans="1:10" ht="16.5" x14ac:dyDescent="0.3">
      <c r="A418" s="4">
        <v>42812</v>
      </c>
      <c r="B418" s="2" t="s">
        <v>15</v>
      </c>
      <c r="C418" s="2">
        <v>1416</v>
      </c>
      <c r="D418" s="2" t="s">
        <v>23</v>
      </c>
      <c r="E418" s="2" t="s">
        <v>12</v>
      </c>
      <c r="F418" s="2">
        <v>30</v>
      </c>
      <c r="G418" s="2">
        <v>1</v>
      </c>
      <c r="H418" s="2">
        <v>180</v>
      </c>
      <c r="I418" s="2">
        <f>IF(H418=0,H418*0%,IF(H418=35,H418*2%,IF(H418=60,H418*5%,IF(H418=100,H418*6%,IF(H418=140,H418*8%,)))))</f>
        <v>0</v>
      </c>
      <c r="J418" s="2">
        <f>(H418-I418)*F418</f>
        <v>5400</v>
      </c>
    </row>
    <row r="419" spans="1:10" ht="16.5" x14ac:dyDescent="0.3">
      <c r="A419" s="4">
        <v>42772</v>
      </c>
      <c r="B419" s="2" t="s">
        <v>13</v>
      </c>
      <c r="C419" s="2">
        <v>1417</v>
      </c>
      <c r="D419" s="2" t="s">
        <v>27</v>
      </c>
      <c r="E419" s="2" t="s">
        <v>22</v>
      </c>
      <c r="F419" s="2">
        <v>50</v>
      </c>
      <c r="G419" s="2">
        <v>1</v>
      </c>
      <c r="H419" s="2">
        <v>75</v>
      </c>
      <c r="I419" s="2">
        <f>IF(H419=0,H419*0%,IF(H419=35,H419*2%,IF(H419=60,H419*5%,IF(H419=100,H419*6%,IF(H419=140,H419*8%,)))))</f>
        <v>0</v>
      </c>
      <c r="J419" s="2">
        <f>(H419-I419)*F419</f>
        <v>3750</v>
      </c>
    </row>
    <row r="420" spans="1:10" ht="16.5" x14ac:dyDescent="0.3">
      <c r="A420" s="4">
        <v>42821</v>
      </c>
      <c r="B420" s="2" t="s">
        <v>10</v>
      </c>
      <c r="C420" s="2">
        <v>1418</v>
      </c>
      <c r="D420" s="2" t="s">
        <v>18</v>
      </c>
      <c r="E420" s="2" t="s">
        <v>19</v>
      </c>
      <c r="F420" s="2">
        <v>70</v>
      </c>
      <c r="G420" s="2">
        <v>1</v>
      </c>
      <c r="H420" s="2">
        <v>120</v>
      </c>
      <c r="I420" s="2">
        <f>IF(H420=0,H420*0%,IF(H420=35,H420*2%,IF(H420=60,H420*5%,IF(H420=100,H420*6%,IF(H420=140,H420*8%,)))))</f>
        <v>0</v>
      </c>
      <c r="J420" s="2">
        <f>(H420-I420)*F420</f>
        <v>8400</v>
      </c>
    </row>
    <row r="421" spans="1:10" ht="16.5" x14ac:dyDescent="0.3">
      <c r="A421" s="4">
        <v>42785</v>
      </c>
      <c r="B421" s="2" t="s">
        <v>13</v>
      </c>
      <c r="C421" s="2">
        <v>1419</v>
      </c>
      <c r="D421" s="2" t="s">
        <v>14</v>
      </c>
      <c r="E421" s="2" t="s">
        <v>19</v>
      </c>
      <c r="F421" s="2">
        <v>50</v>
      </c>
      <c r="G421" s="2">
        <v>1</v>
      </c>
      <c r="H421" s="2">
        <v>75</v>
      </c>
      <c r="I421" s="2">
        <f>IF(H421=0,H421*0%,IF(H421=35,H421*2%,IF(H421=60,H421*5%,IF(H421=100,H421*6%,IF(H421=140,H421*8%,)))))</f>
        <v>0</v>
      </c>
      <c r="J421" s="2">
        <f>(H421-I421)*F421</f>
        <v>3750</v>
      </c>
    </row>
    <row r="422" spans="1:10" ht="16.5" x14ac:dyDescent="0.3">
      <c r="A422" s="4">
        <v>42880</v>
      </c>
      <c r="B422" s="2" t="s">
        <v>13</v>
      </c>
      <c r="C422" s="2">
        <v>1420</v>
      </c>
      <c r="D422" s="2" t="s">
        <v>11</v>
      </c>
      <c r="E422" s="2" t="s">
        <v>21</v>
      </c>
      <c r="F422" s="2">
        <v>50</v>
      </c>
      <c r="G422" s="2">
        <v>1</v>
      </c>
      <c r="H422" s="2">
        <v>50</v>
      </c>
      <c r="I422" s="2">
        <f>IF(H422=0,H422*0%,IF(H422=35,H422*2%,IF(H422=60,H422*5%,IF(H422=100,H422*6%,IF(H422=140,H422*8%,)))))</f>
        <v>0</v>
      </c>
      <c r="J422" s="2">
        <f>(H422-I422)*F422</f>
        <v>2500</v>
      </c>
    </row>
    <row r="423" spans="1:10" ht="16.5" x14ac:dyDescent="0.3">
      <c r="A423" s="4">
        <v>42822</v>
      </c>
      <c r="B423" s="2" t="s">
        <v>10</v>
      </c>
      <c r="C423" s="2">
        <v>1421</v>
      </c>
      <c r="D423" s="2" t="s">
        <v>11</v>
      </c>
      <c r="E423" s="2" t="s">
        <v>19</v>
      </c>
      <c r="F423" s="2">
        <v>70</v>
      </c>
      <c r="G423" s="2">
        <v>1</v>
      </c>
      <c r="H423" s="2">
        <v>90</v>
      </c>
      <c r="I423" s="2">
        <f>IF(H423=0,H423*0%,IF(H423=35,H423*2%,IF(H423=60,H423*5%,IF(H423=100,H423*6%,IF(H423=140,H423*8%,)))))</f>
        <v>0</v>
      </c>
      <c r="J423" s="2">
        <f>(H423-I423)*F423</f>
        <v>6300</v>
      </c>
    </row>
    <row r="424" spans="1:10" ht="16.5" x14ac:dyDescent="0.3">
      <c r="A424" s="4">
        <v>42893</v>
      </c>
      <c r="B424" s="2" t="s">
        <v>15</v>
      </c>
      <c r="C424" s="2">
        <v>1422</v>
      </c>
      <c r="D424" s="2" t="s">
        <v>27</v>
      </c>
      <c r="E424" s="2" t="s">
        <v>21</v>
      </c>
      <c r="F424" s="2">
        <v>30</v>
      </c>
      <c r="G424" s="2">
        <v>1</v>
      </c>
      <c r="H424" s="2">
        <v>80</v>
      </c>
      <c r="I424" s="2">
        <f>IF(H424=0,H424*0%,IF(H424=35,H424*2%,IF(H424=60,H424*5%,IF(H424=100,H424*6%,IF(H424=140,H424*8%,)))))</f>
        <v>0</v>
      </c>
      <c r="J424" s="2">
        <f>(H424-I424)*F424</f>
        <v>2400</v>
      </c>
    </row>
    <row r="425" spans="1:10" ht="16.5" x14ac:dyDescent="0.3">
      <c r="A425" s="4">
        <v>42814</v>
      </c>
      <c r="B425" s="2" t="s">
        <v>15</v>
      </c>
      <c r="C425" s="2">
        <v>1423</v>
      </c>
      <c r="D425" s="2" t="s">
        <v>16</v>
      </c>
      <c r="E425" s="2" t="s">
        <v>22</v>
      </c>
      <c r="F425" s="2">
        <v>30</v>
      </c>
      <c r="G425" s="2">
        <v>1</v>
      </c>
      <c r="H425" s="2">
        <v>115</v>
      </c>
      <c r="I425" s="2">
        <f>IF(H425=0,H425*0%,IF(H425=35,H425*2%,IF(H425=60,H425*5%,IF(H425=100,H425*6%,IF(H425=140,H425*8%,)))))</f>
        <v>0</v>
      </c>
      <c r="J425" s="2">
        <f>(H425-I425)*F425</f>
        <v>3450</v>
      </c>
    </row>
    <row r="426" spans="1:10" ht="16.5" x14ac:dyDescent="0.3">
      <c r="A426" s="4">
        <v>42760</v>
      </c>
      <c r="B426" s="2" t="s">
        <v>15</v>
      </c>
      <c r="C426" s="2">
        <v>1424</v>
      </c>
      <c r="D426" s="2" t="s">
        <v>27</v>
      </c>
      <c r="E426" s="2" t="s">
        <v>24</v>
      </c>
      <c r="F426" s="2">
        <v>30</v>
      </c>
      <c r="G426" s="2">
        <v>1</v>
      </c>
      <c r="H426" s="2">
        <v>120</v>
      </c>
      <c r="I426" s="2">
        <f>IF(H426=0,H426*0%,IF(H426=35,H426*2%,IF(H426=60,H426*5%,IF(H426=100,H426*6%,IF(H426=140,H426*8%,)))))</f>
        <v>0</v>
      </c>
      <c r="J426" s="2">
        <f>(H426-I426)*F426</f>
        <v>3600</v>
      </c>
    </row>
    <row r="427" spans="1:10" ht="16.5" x14ac:dyDescent="0.3">
      <c r="A427" s="4">
        <v>42772</v>
      </c>
      <c r="B427" s="2" t="s">
        <v>13</v>
      </c>
      <c r="C427" s="2">
        <v>1425</v>
      </c>
      <c r="D427" s="2" t="s">
        <v>23</v>
      </c>
      <c r="E427" s="2" t="s">
        <v>25</v>
      </c>
      <c r="F427" s="2">
        <v>50</v>
      </c>
      <c r="G427" s="2">
        <v>1</v>
      </c>
      <c r="H427" s="2">
        <v>45</v>
      </c>
      <c r="I427" s="2">
        <f>IF(H427=0,H427*0%,IF(H427=35,H427*2%,IF(H427=60,H427*5%,IF(H427=100,H427*6%,IF(H427=140,H427*8%,)))))</f>
        <v>0</v>
      </c>
      <c r="J427" s="2">
        <f>(H427-I427)*F427</f>
        <v>2250</v>
      </c>
    </row>
    <row r="428" spans="1:10" ht="16.5" x14ac:dyDescent="0.3">
      <c r="A428" s="4">
        <v>42793</v>
      </c>
      <c r="B428" s="2" t="s">
        <v>15</v>
      </c>
      <c r="C428" s="2">
        <v>1426</v>
      </c>
      <c r="D428" s="2" t="s">
        <v>23</v>
      </c>
      <c r="E428" s="2" t="s">
        <v>21</v>
      </c>
      <c r="F428" s="2">
        <v>30</v>
      </c>
      <c r="G428" s="2">
        <v>1</v>
      </c>
      <c r="H428" s="2">
        <v>130</v>
      </c>
      <c r="I428" s="2">
        <f>IF(H428=0,H428*0%,IF(H428=35,H428*2%,IF(H428=60,H428*5%,IF(H428=100,H428*6%,IF(H428=140,H428*8%,)))))</f>
        <v>0</v>
      </c>
      <c r="J428" s="2">
        <f>(H428-I428)*F428</f>
        <v>3900</v>
      </c>
    </row>
    <row r="429" spans="1:10" ht="16.5" x14ac:dyDescent="0.3">
      <c r="A429" s="4">
        <v>42761</v>
      </c>
      <c r="B429" s="2" t="s">
        <v>15</v>
      </c>
      <c r="C429" s="2">
        <v>1427</v>
      </c>
      <c r="D429" s="2" t="s">
        <v>18</v>
      </c>
      <c r="E429" s="2" t="s">
        <v>22</v>
      </c>
      <c r="F429" s="2">
        <v>30</v>
      </c>
      <c r="G429" s="2">
        <v>1</v>
      </c>
      <c r="H429" s="2">
        <v>80</v>
      </c>
      <c r="I429" s="2">
        <f>IF(H429=0,H429*0%,IF(H429=35,H429*2%,IF(H429=60,H429*5%,IF(H429=100,H429*6%,IF(H429=140,H429*8%,)))))</f>
        <v>0</v>
      </c>
      <c r="J429" s="2">
        <f>(H429-I429)*F429</f>
        <v>2400</v>
      </c>
    </row>
    <row r="430" spans="1:10" ht="16.5" x14ac:dyDescent="0.3">
      <c r="A430" s="4">
        <v>42778</v>
      </c>
      <c r="B430" s="2" t="s">
        <v>13</v>
      </c>
      <c r="C430" s="2">
        <v>1428</v>
      </c>
      <c r="D430" s="2" t="s">
        <v>11</v>
      </c>
      <c r="E430" s="2" t="s">
        <v>25</v>
      </c>
      <c r="F430" s="2">
        <v>50</v>
      </c>
      <c r="G430" s="2">
        <v>1</v>
      </c>
      <c r="H430" s="2">
        <v>160</v>
      </c>
      <c r="I430" s="2">
        <f>IF(H430=0,H430*0%,IF(H430=35,H430*2%,IF(H430=60,H430*5%,IF(H430=100,H430*6%,IF(H430=140,H430*8%,)))))</f>
        <v>0</v>
      </c>
      <c r="J430" s="2">
        <f>(H430-I430)*F430</f>
        <v>8000</v>
      </c>
    </row>
    <row r="431" spans="1:10" ht="16.5" x14ac:dyDescent="0.3">
      <c r="A431" s="4">
        <v>42797</v>
      </c>
      <c r="B431" s="2" t="s">
        <v>13</v>
      </c>
      <c r="C431" s="2">
        <v>1429</v>
      </c>
      <c r="D431" s="2" t="s">
        <v>16</v>
      </c>
      <c r="E431" s="2" t="s">
        <v>20</v>
      </c>
      <c r="F431" s="2">
        <v>50</v>
      </c>
      <c r="G431" s="2">
        <v>1</v>
      </c>
      <c r="H431" s="2">
        <v>80</v>
      </c>
      <c r="I431" s="2">
        <f>IF(H431=0,H431*0%,IF(H431=35,H431*2%,IF(H431=60,H431*5%,IF(H431=100,H431*6%,IF(H431=140,H431*8%,)))))</f>
        <v>0</v>
      </c>
      <c r="J431" s="2">
        <f>(H431-I431)*F431</f>
        <v>4000</v>
      </c>
    </row>
    <row r="432" spans="1:10" ht="16.5" x14ac:dyDescent="0.3">
      <c r="A432" s="4">
        <v>42874</v>
      </c>
      <c r="B432" s="2" t="s">
        <v>13</v>
      </c>
      <c r="C432" s="2">
        <v>1430</v>
      </c>
      <c r="D432" s="2" t="s">
        <v>16</v>
      </c>
      <c r="E432" s="2" t="s">
        <v>12</v>
      </c>
      <c r="F432" s="2">
        <v>50</v>
      </c>
      <c r="G432" s="2">
        <v>1</v>
      </c>
      <c r="H432" s="2">
        <v>50</v>
      </c>
      <c r="I432" s="2">
        <f>IF(H432=0,H432*0%,IF(H432=35,H432*2%,IF(H432=60,H432*5%,IF(H432=100,H432*6%,IF(H432=140,H432*8%,)))))</f>
        <v>0</v>
      </c>
      <c r="J432" s="2">
        <f>(H432-I432)*F432</f>
        <v>2500</v>
      </c>
    </row>
    <row r="433" spans="1:10" ht="16.5" x14ac:dyDescent="0.3">
      <c r="A433" s="4">
        <v>42879</v>
      </c>
      <c r="B433" s="2" t="s">
        <v>13</v>
      </c>
      <c r="C433" s="2">
        <v>1431</v>
      </c>
      <c r="D433" s="2" t="s">
        <v>27</v>
      </c>
      <c r="E433" s="2" t="s">
        <v>17</v>
      </c>
      <c r="F433" s="2">
        <v>50</v>
      </c>
      <c r="G433" s="2">
        <v>1</v>
      </c>
      <c r="H433" s="2">
        <v>40</v>
      </c>
      <c r="I433" s="2">
        <f>IF(H433=0,H433*0%,IF(H433=35,H433*2%,IF(H433=60,H433*5%,IF(H433=100,H433*6%,IF(H433=140,H433*8%,)))))</f>
        <v>0</v>
      </c>
      <c r="J433" s="2">
        <f>(H433-I433)*F433</f>
        <v>2000</v>
      </c>
    </row>
    <row r="434" spans="1:10" ht="16.5" x14ac:dyDescent="0.3">
      <c r="A434" s="4">
        <v>42766</v>
      </c>
      <c r="B434" s="2" t="s">
        <v>13</v>
      </c>
      <c r="C434" s="2">
        <v>1432</v>
      </c>
      <c r="D434" s="2" t="s">
        <v>27</v>
      </c>
      <c r="E434" s="2" t="s">
        <v>20</v>
      </c>
      <c r="F434" s="2">
        <v>50</v>
      </c>
      <c r="G434" s="2">
        <v>1</v>
      </c>
      <c r="H434" s="2">
        <v>75</v>
      </c>
      <c r="I434" s="2">
        <f>IF(H434=0,H434*0%,IF(H434=35,H434*2%,IF(H434=60,H434*5%,IF(H434=100,H434*6%,IF(H434=140,H434*8%,)))))</f>
        <v>0</v>
      </c>
      <c r="J434" s="2">
        <f>(H434-I434)*F434</f>
        <v>3750</v>
      </c>
    </row>
    <row r="435" spans="1:10" ht="16.5" x14ac:dyDescent="0.3">
      <c r="A435" s="4">
        <v>42828</v>
      </c>
      <c r="B435" s="2" t="s">
        <v>15</v>
      </c>
      <c r="C435" s="2">
        <v>1433</v>
      </c>
      <c r="D435" s="2" t="s">
        <v>14</v>
      </c>
      <c r="E435" s="2" t="s">
        <v>24</v>
      </c>
      <c r="F435" s="2">
        <v>30</v>
      </c>
      <c r="G435" s="2">
        <v>1</v>
      </c>
      <c r="H435" s="2">
        <v>110</v>
      </c>
      <c r="I435" s="2">
        <f>IF(H435=0,H435*0%,IF(H435=35,H435*2%,IF(H435=60,H435*5%,IF(H435=100,H435*6%,IF(H435=140,H435*8%,)))))</f>
        <v>0</v>
      </c>
      <c r="J435" s="2">
        <f>(H435-I435)*F435</f>
        <v>3300</v>
      </c>
    </row>
    <row r="436" spans="1:10" ht="16.5" x14ac:dyDescent="0.3">
      <c r="A436" s="4">
        <v>42747</v>
      </c>
      <c r="B436" s="2" t="s">
        <v>15</v>
      </c>
      <c r="C436" s="2">
        <v>1434</v>
      </c>
      <c r="D436" s="2" t="s">
        <v>27</v>
      </c>
      <c r="E436" s="2" t="s">
        <v>24</v>
      </c>
      <c r="F436" s="2">
        <v>30</v>
      </c>
      <c r="G436" s="2">
        <v>1</v>
      </c>
      <c r="H436" s="2">
        <v>80</v>
      </c>
      <c r="I436" s="2">
        <f>IF(H436=0,H436*0%,IF(H436=35,H436*2%,IF(H436=60,H436*5%,IF(H436=100,H436*6%,IF(H436=140,H436*8%,)))))</f>
        <v>0</v>
      </c>
      <c r="J436" s="2">
        <f>(H436-I436)*F436</f>
        <v>2400</v>
      </c>
    </row>
    <row r="437" spans="1:10" ht="16.5" x14ac:dyDescent="0.3">
      <c r="A437" s="4">
        <v>42833</v>
      </c>
      <c r="B437" s="2" t="s">
        <v>15</v>
      </c>
      <c r="C437" s="2">
        <v>1435</v>
      </c>
      <c r="D437" s="2" t="s">
        <v>14</v>
      </c>
      <c r="E437" s="2" t="s">
        <v>20</v>
      </c>
      <c r="F437" s="2">
        <v>30</v>
      </c>
      <c r="G437" s="2">
        <v>1</v>
      </c>
      <c r="H437" s="2">
        <v>40</v>
      </c>
      <c r="I437" s="2">
        <f>IF(H437=0,H437*0%,IF(H437=35,H437*2%,IF(H437=60,H437*5%,IF(H437=100,H437*6%,IF(H437=140,H437*8%,)))))</f>
        <v>0</v>
      </c>
      <c r="J437" s="2">
        <f>(H437-I437)*F437</f>
        <v>1200</v>
      </c>
    </row>
    <row r="438" spans="1:10" ht="16.5" x14ac:dyDescent="0.3">
      <c r="A438" s="4">
        <v>42913</v>
      </c>
      <c r="B438" s="2" t="s">
        <v>15</v>
      </c>
      <c r="C438" s="2">
        <v>1436</v>
      </c>
      <c r="D438" s="2" t="s">
        <v>27</v>
      </c>
      <c r="E438" s="2" t="s">
        <v>17</v>
      </c>
      <c r="F438" s="2">
        <v>30</v>
      </c>
      <c r="G438" s="2">
        <v>1</v>
      </c>
      <c r="H438" s="2">
        <v>45</v>
      </c>
      <c r="I438" s="2">
        <f>IF(H438=0,H438*0%,IF(H438=35,H438*2%,IF(H438=60,H438*5%,IF(H438=100,H438*6%,IF(H438=140,H438*8%,)))))</f>
        <v>0</v>
      </c>
      <c r="J438" s="2">
        <f>(H438-I438)*F438</f>
        <v>1350</v>
      </c>
    </row>
    <row r="439" spans="1:10" ht="16.5" x14ac:dyDescent="0.3">
      <c r="A439" s="4">
        <v>42834</v>
      </c>
      <c r="B439" s="2" t="s">
        <v>10</v>
      </c>
      <c r="C439" s="2">
        <v>1437</v>
      </c>
      <c r="D439" s="2" t="s">
        <v>14</v>
      </c>
      <c r="E439" s="2" t="s">
        <v>22</v>
      </c>
      <c r="F439" s="2">
        <v>70</v>
      </c>
      <c r="G439" s="2">
        <v>1</v>
      </c>
      <c r="H439" s="2">
        <v>120</v>
      </c>
      <c r="I439" s="2">
        <f>IF(H439=0,H439*0%,IF(H439=35,H439*2%,IF(H439=60,H439*5%,IF(H439=100,H439*6%,IF(H439=140,H439*8%,)))))</f>
        <v>0</v>
      </c>
      <c r="J439" s="2">
        <f>(H439-I439)*F439</f>
        <v>8400</v>
      </c>
    </row>
    <row r="440" spans="1:10" ht="16.5" x14ac:dyDescent="0.3">
      <c r="A440" s="4">
        <v>42907</v>
      </c>
      <c r="B440" s="2" t="s">
        <v>13</v>
      </c>
      <c r="C440" s="2">
        <v>1438</v>
      </c>
      <c r="D440" s="2" t="s">
        <v>27</v>
      </c>
      <c r="E440" s="2" t="s">
        <v>24</v>
      </c>
      <c r="F440" s="2">
        <v>50</v>
      </c>
      <c r="G440" s="2">
        <v>1</v>
      </c>
      <c r="H440" s="2">
        <v>115</v>
      </c>
      <c r="I440" s="2">
        <f>IF(H440=0,H440*0%,IF(H440=35,H440*2%,IF(H440=60,H440*5%,IF(H440=100,H440*6%,IF(H440=140,H440*8%,)))))</f>
        <v>0</v>
      </c>
      <c r="J440" s="2">
        <f>(H440-I440)*F440</f>
        <v>5750</v>
      </c>
    </row>
    <row r="441" spans="1:10" ht="16.5" x14ac:dyDescent="0.3">
      <c r="A441" s="4">
        <v>42800</v>
      </c>
      <c r="B441" s="2" t="s">
        <v>15</v>
      </c>
      <c r="C441" s="2">
        <v>1439</v>
      </c>
      <c r="D441" s="2" t="s">
        <v>27</v>
      </c>
      <c r="E441" s="2" t="s">
        <v>25</v>
      </c>
      <c r="F441" s="2">
        <v>30</v>
      </c>
      <c r="G441" s="2">
        <v>1</v>
      </c>
      <c r="H441" s="2">
        <v>80</v>
      </c>
      <c r="I441" s="2">
        <f>IF(H441=0,H441*0%,IF(H441=35,H441*2%,IF(H441=60,H441*5%,IF(H441=100,H441*6%,IF(H441=140,H441*8%,)))))</f>
        <v>0</v>
      </c>
      <c r="J441" s="2">
        <f>(H441-I441)*F441</f>
        <v>2400</v>
      </c>
    </row>
    <row r="442" spans="1:10" ht="16.5" x14ac:dyDescent="0.3">
      <c r="A442" s="4">
        <v>42816</v>
      </c>
      <c r="B442" s="2" t="s">
        <v>10</v>
      </c>
      <c r="C442" s="2">
        <v>1440</v>
      </c>
      <c r="D442" s="2" t="s">
        <v>18</v>
      </c>
      <c r="E442" s="2" t="s">
        <v>26</v>
      </c>
      <c r="F442" s="2">
        <v>70</v>
      </c>
      <c r="G442" s="2">
        <v>1</v>
      </c>
      <c r="H442" s="2">
        <v>160</v>
      </c>
      <c r="I442" s="2">
        <f>IF(H442=0,H442*0%,IF(H442=35,H442*2%,IF(H442=60,H442*5%,IF(H442=100,H442*6%,IF(H442=140,H442*8%,)))))</f>
        <v>0</v>
      </c>
      <c r="J442" s="2">
        <f>(H442-I442)*F442</f>
        <v>11200</v>
      </c>
    </row>
    <row r="443" spans="1:10" ht="16.5" x14ac:dyDescent="0.3">
      <c r="A443" s="4">
        <v>42785</v>
      </c>
      <c r="B443" s="2" t="s">
        <v>10</v>
      </c>
      <c r="C443" s="2">
        <v>1441</v>
      </c>
      <c r="D443" s="2" t="s">
        <v>14</v>
      </c>
      <c r="E443" s="2" t="s">
        <v>19</v>
      </c>
      <c r="F443" s="2">
        <v>70</v>
      </c>
      <c r="G443" s="2">
        <v>1</v>
      </c>
      <c r="H443" s="2">
        <v>45</v>
      </c>
      <c r="I443" s="2">
        <f>IF(H443=0,H443*0%,IF(H443=35,H443*2%,IF(H443=60,H443*5%,IF(H443=100,H443*6%,IF(H443=140,H443*8%,)))))</f>
        <v>0</v>
      </c>
      <c r="J443" s="2">
        <f>(H443-I443)*F443</f>
        <v>3150</v>
      </c>
    </row>
    <row r="444" spans="1:10" ht="16.5" x14ac:dyDescent="0.3">
      <c r="A444" s="4">
        <v>42789</v>
      </c>
      <c r="B444" s="2" t="s">
        <v>10</v>
      </c>
      <c r="C444" s="2">
        <v>1442</v>
      </c>
      <c r="D444" s="2" t="s">
        <v>14</v>
      </c>
      <c r="E444" s="2" t="s">
        <v>19</v>
      </c>
      <c r="F444" s="2">
        <v>70</v>
      </c>
      <c r="G444" s="2">
        <v>1</v>
      </c>
      <c r="H444" s="2">
        <v>80</v>
      </c>
      <c r="I444" s="2">
        <f>IF(H444=0,H444*0%,IF(H444=35,H444*2%,IF(H444=60,H444*5%,IF(H444=100,H444*6%,IF(H444=140,H444*8%,)))))</f>
        <v>0</v>
      </c>
      <c r="J444" s="2">
        <f>(H444-I444)*F444</f>
        <v>5600</v>
      </c>
    </row>
    <row r="445" spans="1:10" ht="16.5" x14ac:dyDescent="0.3">
      <c r="A445" s="4">
        <v>42750</v>
      </c>
      <c r="B445" s="2" t="s">
        <v>15</v>
      </c>
      <c r="C445" s="2">
        <v>1443</v>
      </c>
      <c r="D445" s="2" t="s">
        <v>23</v>
      </c>
      <c r="E445" s="2" t="s">
        <v>25</v>
      </c>
      <c r="F445" s="2">
        <v>30</v>
      </c>
      <c r="G445" s="2">
        <v>1</v>
      </c>
      <c r="H445" s="2">
        <v>80</v>
      </c>
      <c r="I445" s="2">
        <f>IF(H445=0,H445*0%,IF(H445=35,H445*2%,IF(H445=60,H445*5%,IF(H445=100,H445*6%,IF(H445=140,H445*8%,)))))</f>
        <v>0</v>
      </c>
      <c r="J445" s="2">
        <f>(H445-I445)*F445</f>
        <v>2400</v>
      </c>
    </row>
    <row r="446" spans="1:10" ht="16.5" x14ac:dyDescent="0.3">
      <c r="A446" s="4">
        <v>42818</v>
      </c>
      <c r="B446" s="2" t="s">
        <v>13</v>
      </c>
      <c r="C446" s="2">
        <v>1444</v>
      </c>
      <c r="D446" s="2" t="s">
        <v>23</v>
      </c>
      <c r="E446" s="2" t="s">
        <v>20</v>
      </c>
      <c r="F446" s="2">
        <v>50</v>
      </c>
      <c r="G446" s="2">
        <v>1</v>
      </c>
      <c r="H446" s="2">
        <v>50</v>
      </c>
      <c r="I446" s="2">
        <f>IF(H446=0,H446*0%,IF(H446=35,H446*2%,IF(H446=60,H446*5%,IF(H446=100,H446*6%,IF(H446=140,H446*8%,)))))</f>
        <v>0</v>
      </c>
      <c r="J446" s="2">
        <f>(H446-I446)*F446</f>
        <v>2500</v>
      </c>
    </row>
    <row r="447" spans="1:10" ht="16.5" x14ac:dyDescent="0.3">
      <c r="A447" s="4">
        <v>42806</v>
      </c>
      <c r="B447" s="2" t="s">
        <v>10</v>
      </c>
      <c r="C447" s="2">
        <v>1445</v>
      </c>
      <c r="D447" s="2" t="s">
        <v>14</v>
      </c>
      <c r="E447" s="2" t="s">
        <v>12</v>
      </c>
      <c r="F447" s="2">
        <v>70</v>
      </c>
      <c r="G447" s="2">
        <v>1</v>
      </c>
      <c r="H447" s="2">
        <v>130</v>
      </c>
      <c r="I447" s="2">
        <f>IF(H447=0,H447*0%,IF(H447=35,H447*2%,IF(H447=60,H447*5%,IF(H447=100,H447*6%,IF(H447=140,H447*8%,)))))</f>
        <v>0</v>
      </c>
      <c r="J447" s="2">
        <f>(H447-I447)*F447</f>
        <v>9100</v>
      </c>
    </row>
    <row r="448" spans="1:10" ht="16.5" x14ac:dyDescent="0.3">
      <c r="A448" s="4">
        <v>42806</v>
      </c>
      <c r="B448" s="2" t="s">
        <v>10</v>
      </c>
      <c r="C448" s="2">
        <v>1446</v>
      </c>
      <c r="D448" s="2" t="s">
        <v>14</v>
      </c>
      <c r="E448" s="2" t="s">
        <v>25</v>
      </c>
      <c r="F448" s="2">
        <v>70</v>
      </c>
      <c r="G448" s="2">
        <v>1</v>
      </c>
      <c r="H448" s="2">
        <v>45</v>
      </c>
      <c r="I448" s="2">
        <f>IF(H448=0,H448*0%,IF(H448=35,H448*2%,IF(H448=60,H448*5%,IF(H448=100,H448*6%,IF(H448=140,H448*8%,)))))</f>
        <v>0</v>
      </c>
      <c r="J448" s="2">
        <f>(H448-I448)*F448</f>
        <v>3150</v>
      </c>
    </row>
    <row r="449" spans="1:10" ht="16.5" x14ac:dyDescent="0.3">
      <c r="A449" s="4">
        <v>42767</v>
      </c>
      <c r="B449" s="2" t="s">
        <v>10</v>
      </c>
      <c r="C449" s="2">
        <v>1447</v>
      </c>
      <c r="D449" s="2" t="s">
        <v>27</v>
      </c>
      <c r="E449" s="2" t="s">
        <v>25</v>
      </c>
      <c r="F449" s="2">
        <v>70</v>
      </c>
      <c r="G449" s="2">
        <v>1</v>
      </c>
      <c r="H449" s="2">
        <v>90</v>
      </c>
      <c r="I449" s="2">
        <f>IF(H449=0,H449*0%,IF(H449=35,H449*2%,IF(H449=60,H449*5%,IF(H449=100,H449*6%,IF(H449=140,H449*8%,)))))</f>
        <v>0</v>
      </c>
      <c r="J449" s="2">
        <f>(H449-I449)*F449</f>
        <v>6300</v>
      </c>
    </row>
    <row r="450" spans="1:10" ht="16.5" x14ac:dyDescent="0.3">
      <c r="A450" s="4">
        <v>42782</v>
      </c>
      <c r="B450" s="2" t="s">
        <v>13</v>
      </c>
      <c r="C450" s="2">
        <v>1448</v>
      </c>
      <c r="D450" s="2" t="s">
        <v>23</v>
      </c>
      <c r="E450" s="2" t="s">
        <v>17</v>
      </c>
      <c r="F450" s="2">
        <v>50</v>
      </c>
      <c r="G450" s="2">
        <v>1</v>
      </c>
      <c r="H450" s="2">
        <v>160</v>
      </c>
      <c r="I450" s="2">
        <f>IF(H450=0,H450*0%,IF(H450=35,H450*2%,IF(H450=60,H450*5%,IF(H450=100,H450*6%,IF(H450=140,H450*8%,)))))</f>
        <v>0</v>
      </c>
      <c r="J450" s="2">
        <f>(H450-I450)*F450</f>
        <v>8000</v>
      </c>
    </row>
    <row r="451" spans="1:10" ht="16.5" x14ac:dyDescent="0.3">
      <c r="A451" s="4">
        <v>42834</v>
      </c>
      <c r="B451" s="2" t="s">
        <v>15</v>
      </c>
      <c r="C451" s="2">
        <v>1449</v>
      </c>
      <c r="D451" s="2" t="s">
        <v>23</v>
      </c>
      <c r="E451" s="2" t="s">
        <v>20</v>
      </c>
      <c r="F451" s="2">
        <v>30</v>
      </c>
      <c r="G451" s="2">
        <v>1</v>
      </c>
      <c r="H451" s="2">
        <v>100</v>
      </c>
      <c r="I451" s="2">
        <f>IF(H451=0,H451*0%,IF(H451=35,H451*2%,IF(H451=60,H451*5%,IF(H451=100,H451*6%,IF(H451=140,H451*8%,)))))</f>
        <v>6</v>
      </c>
      <c r="J451" s="2">
        <f>(H451-I451)*F451</f>
        <v>2820</v>
      </c>
    </row>
    <row r="452" spans="1:10" ht="16.5" x14ac:dyDescent="0.3">
      <c r="A452" s="4">
        <v>42907</v>
      </c>
      <c r="B452" s="2" t="s">
        <v>13</v>
      </c>
      <c r="C452" s="2">
        <v>1450</v>
      </c>
      <c r="D452" s="2" t="s">
        <v>11</v>
      </c>
      <c r="E452" s="2" t="s">
        <v>28</v>
      </c>
      <c r="F452" s="2">
        <v>50</v>
      </c>
      <c r="G452" s="2">
        <v>1</v>
      </c>
      <c r="H452" s="2">
        <v>130</v>
      </c>
      <c r="I452" s="2">
        <f>IF(H452=0,H452*0%,IF(H452=35,H452*2%,IF(H452=60,H452*5%,IF(H452=100,H452*6%,IF(H452=140,H452*8%,)))))</f>
        <v>0</v>
      </c>
      <c r="J452" s="2">
        <f>(H452-I452)*F452</f>
        <v>6500</v>
      </c>
    </row>
    <row r="453" spans="1:10" ht="16.5" x14ac:dyDescent="0.3">
      <c r="A453" s="4">
        <v>42747</v>
      </c>
      <c r="B453" s="2" t="s">
        <v>10</v>
      </c>
      <c r="C453" s="2">
        <v>1451</v>
      </c>
      <c r="D453" s="2" t="s">
        <v>23</v>
      </c>
      <c r="E453" s="2" t="s">
        <v>22</v>
      </c>
      <c r="F453" s="2">
        <v>70</v>
      </c>
      <c r="G453" s="2">
        <v>1</v>
      </c>
      <c r="H453" s="2">
        <v>80</v>
      </c>
      <c r="I453" s="2">
        <f>IF(H453=0,H453*0%,IF(H453=35,H453*2%,IF(H453=60,H453*5%,IF(H453=100,H453*6%,IF(H453=140,H453*8%,)))))</f>
        <v>0</v>
      </c>
      <c r="J453" s="2">
        <f>(H453-I453)*F453</f>
        <v>5600</v>
      </c>
    </row>
    <row r="454" spans="1:10" ht="16.5" x14ac:dyDescent="0.3">
      <c r="A454" s="4">
        <v>42848</v>
      </c>
      <c r="B454" s="2" t="s">
        <v>15</v>
      </c>
      <c r="C454" s="2">
        <v>1452</v>
      </c>
      <c r="D454" s="2" t="s">
        <v>16</v>
      </c>
      <c r="E454" s="2" t="s">
        <v>12</v>
      </c>
      <c r="F454" s="2">
        <v>30</v>
      </c>
      <c r="G454" s="2">
        <v>1</v>
      </c>
      <c r="H454" s="2">
        <v>80</v>
      </c>
      <c r="I454" s="2">
        <f>IF(H454=0,H454*0%,IF(H454=35,H454*2%,IF(H454=60,H454*5%,IF(H454=100,H454*6%,IF(H454=140,H454*8%,)))))</f>
        <v>0</v>
      </c>
      <c r="J454" s="2">
        <f>(H454-I454)*F454</f>
        <v>2400</v>
      </c>
    </row>
    <row r="455" spans="1:10" ht="16.5" x14ac:dyDescent="0.3">
      <c r="A455" s="4">
        <v>42894</v>
      </c>
      <c r="B455" s="2" t="s">
        <v>15</v>
      </c>
      <c r="C455" s="2">
        <v>1453</v>
      </c>
      <c r="D455" s="2" t="s">
        <v>14</v>
      </c>
      <c r="E455" s="2" t="s">
        <v>24</v>
      </c>
      <c r="F455" s="2">
        <v>30</v>
      </c>
      <c r="G455" s="2">
        <v>1</v>
      </c>
      <c r="H455" s="2">
        <v>130</v>
      </c>
      <c r="I455" s="2">
        <f>IF(H455=0,H455*0%,IF(H455=35,H455*2%,IF(H455=60,H455*5%,IF(H455=100,H455*6%,IF(H455=140,H455*8%,)))))</f>
        <v>0</v>
      </c>
      <c r="J455" s="2">
        <f>(H455-I455)*F455</f>
        <v>3900</v>
      </c>
    </row>
    <row r="456" spans="1:10" ht="16.5" x14ac:dyDescent="0.3">
      <c r="A456" s="4">
        <v>42916</v>
      </c>
      <c r="B456" s="2" t="s">
        <v>15</v>
      </c>
      <c r="C456" s="2">
        <v>1454</v>
      </c>
      <c r="D456" s="2" t="s">
        <v>11</v>
      </c>
      <c r="E456" s="2" t="s">
        <v>22</v>
      </c>
      <c r="F456" s="2">
        <v>30</v>
      </c>
      <c r="G456" s="2">
        <v>1</v>
      </c>
      <c r="H456" s="2">
        <v>90</v>
      </c>
      <c r="I456" s="2">
        <f>IF(H456=0,H456*0%,IF(H456=35,H456*2%,IF(H456=60,H456*5%,IF(H456=100,H456*6%,IF(H456=140,H456*8%,)))))</f>
        <v>0</v>
      </c>
      <c r="J456" s="2">
        <f>(H456-I456)*F456</f>
        <v>2700</v>
      </c>
    </row>
    <row r="457" spans="1:10" ht="16.5" x14ac:dyDescent="0.3">
      <c r="A457" s="4">
        <v>42815</v>
      </c>
      <c r="B457" s="2" t="s">
        <v>15</v>
      </c>
      <c r="C457" s="2">
        <v>1455</v>
      </c>
      <c r="D457" s="2" t="s">
        <v>11</v>
      </c>
      <c r="E457" s="2" t="s">
        <v>24</v>
      </c>
      <c r="F457" s="2">
        <v>30</v>
      </c>
      <c r="G457" s="2">
        <v>1</v>
      </c>
      <c r="H457" s="2">
        <v>45</v>
      </c>
      <c r="I457" s="2">
        <f>IF(H457=0,H457*0%,IF(H457=35,H457*2%,IF(H457=60,H457*5%,IF(H457=100,H457*6%,IF(H457=140,H457*8%,)))))</f>
        <v>0</v>
      </c>
      <c r="J457" s="2">
        <f>(H457-I457)*F457</f>
        <v>1350</v>
      </c>
    </row>
    <row r="458" spans="1:10" ht="16.5" x14ac:dyDescent="0.3">
      <c r="A458" s="4">
        <v>42905</v>
      </c>
      <c r="B458" s="2" t="s">
        <v>13</v>
      </c>
      <c r="C458" s="2">
        <v>1456</v>
      </c>
      <c r="D458" s="2" t="s">
        <v>16</v>
      </c>
      <c r="E458" s="2" t="s">
        <v>25</v>
      </c>
      <c r="F458" s="2">
        <v>50</v>
      </c>
      <c r="G458" s="2">
        <v>1</v>
      </c>
      <c r="H458" s="2">
        <v>160</v>
      </c>
      <c r="I458" s="2">
        <f>IF(H458=0,H458*0%,IF(H458=35,H458*2%,IF(H458=60,H458*5%,IF(H458=100,H458*6%,IF(H458=140,H458*8%,)))))</f>
        <v>0</v>
      </c>
      <c r="J458" s="2">
        <f>(H458-I458)*F458</f>
        <v>8000</v>
      </c>
    </row>
    <row r="459" spans="1:10" ht="16.5" x14ac:dyDescent="0.3">
      <c r="A459" s="4">
        <v>42814</v>
      </c>
      <c r="B459" s="2" t="s">
        <v>15</v>
      </c>
      <c r="C459" s="2">
        <v>1457</v>
      </c>
      <c r="D459" s="2" t="s">
        <v>27</v>
      </c>
      <c r="E459" s="2" t="s">
        <v>28</v>
      </c>
      <c r="F459" s="2">
        <v>30</v>
      </c>
      <c r="G459" s="2">
        <v>1</v>
      </c>
      <c r="H459" s="2">
        <v>60</v>
      </c>
      <c r="I459" s="2">
        <f>IF(H459=0,H459*0%,IF(H459=35,H459*2%,IF(H459=60,H459*5%,IF(H459=100,H459*6%,IF(H459=140,H459*8%,)))))</f>
        <v>3</v>
      </c>
      <c r="J459" s="2">
        <f>(H459-I459)*F459</f>
        <v>1710</v>
      </c>
    </row>
    <row r="460" spans="1:10" ht="16.5" x14ac:dyDescent="0.3">
      <c r="A460" s="4">
        <v>42830</v>
      </c>
      <c r="B460" s="2" t="s">
        <v>13</v>
      </c>
      <c r="C460" s="2">
        <v>1458</v>
      </c>
      <c r="D460" s="2" t="s">
        <v>18</v>
      </c>
      <c r="E460" s="2" t="s">
        <v>21</v>
      </c>
      <c r="F460" s="2">
        <v>50</v>
      </c>
      <c r="G460" s="2">
        <v>1</v>
      </c>
      <c r="H460" s="2">
        <v>60</v>
      </c>
      <c r="I460" s="2">
        <f>IF(H460=0,H460*0%,IF(H460=35,H460*2%,IF(H460=60,H460*5%,IF(H460=100,H460*6%,IF(H460=140,H460*8%,)))))</f>
        <v>3</v>
      </c>
      <c r="J460" s="2">
        <f>(H460-I460)*F460</f>
        <v>2850</v>
      </c>
    </row>
    <row r="461" spans="1:10" ht="16.5" x14ac:dyDescent="0.3">
      <c r="A461" s="4">
        <v>42814</v>
      </c>
      <c r="B461" s="2" t="s">
        <v>13</v>
      </c>
      <c r="C461" s="2">
        <v>1459</v>
      </c>
      <c r="D461" s="2" t="s">
        <v>16</v>
      </c>
      <c r="E461" s="2" t="s">
        <v>28</v>
      </c>
      <c r="F461" s="2">
        <v>50</v>
      </c>
      <c r="G461" s="2">
        <v>1</v>
      </c>
      <c r="H461" s="2">
        <v>80</v>
      </c>
      <c r="I461" s="2">
        <f>IF(H461=0,H461*0%,IF(H461=35,H461*2%,IF(H461=60,H461*5%,IF(H461=100,H461*6%,IF(H461=140,H461*8%,)))))</f>
        <v>0</v>
      </c>
      <c r="J461" s="2">
        <f>(H461-I461)*F461</f>
        <v>4000</v>
      </c>
    </row>
    <row r="462" spans="1:10" ht="16.5" x14ac:dyDescent="0.3">
      <c r="A462" s="4">
        <v>42855</v>
      </c>
      <c r="B462" s="2" t="s">
        <v>13</v>
      </c>
      <c r="C462" s="2">
        <v>1460</v>
      </c>
      <c r="D462" s="2" t="s">
        <v>18</v>
      </c>
      <c r="E462" s="2" t="s">
        <v>26</v>
      </c>
      <c r="F462" s="2">
        <v>50</v>
      </c>
      <c r="G462" s="2">
        <v>1</v>
      </c>
      <c r="H462" s="2">
        <v>120</v>
      </c>
      <c r="I462" s="2">
        <f>IF(H462=0,H462*0%,IF(H462=35,H462*2%,IF(H462=60,H462*5%,IF(H462=100,H462*6%,IF(H462=140,H462*8%,)))))</f>
        <v>0</v>
      </c>
      <c r="J462" s="2">
        <f>(H462-I462)*F462</f>
        <v>6000</v>
      </c>
    </row>
    <row r="463" spans="1:10" ht="16.5" x14ac:dyDescent="0.3">
      <c r="A463" s="4">
        <v>42906</v>
      </c>
      <c r="B463" s="2" t="s">
        <v>15</v>
      </c>
      <c r="C463" s="2">
        <v>1461</v>
      </c>
      <c r="D463" s="2" t="s">
        <v>18</v>
      </c>
      <c r="E463" s="2" t="s">
        <v>12</v>
      </c>
      <c r="F463" s="2">
        <v>30</v>
      </c>
      <c r="G463" s="2">
        <v>1</v>
      </c>
      <c r="H463" s="2">
        <v>40</v>
      </c>
      <c r="I463" s="2">
        <f>IF(H463=0,H463*0%,IF(H463=35,H463*2%,IF(H463=60,H463*5%,IF(H463=100,H463*6%,IF(H463=140,H463*8%,)))))</f>
        <v>0</v>
      </c>
      <c r="J463" s="2">
        <f>(H463-I463)*F463</f>
        <v>1200</v>
      </c>
    </row>
    <row r="464" spans="1:10" ht="16.5" x14ac:dyDescent="0.3">
      <c r="A464" s="4">
        <v>42891</v>
      </c>
      <c r="B464" s="2" t="s">
        <v>13</v>
      </c>
      <c r="C464" s="2">
        <v>1462</v>
      </c>
      <c r="D464" s="2" t="s">
        <v>14</v>
      </c>
      <c r="E464" s="2" t="s">
        <v>19</v>
      </c>
      <c r="F464" s="2">
        <v>50</v>
      </c>
      <c r="G464" s="2">
        <v>1</v>
      </c>
      <c r="H464" s="2">
        <v>50</v>
      </c>
      <c r="I464" s="2">
        <f>IF(H464=0,H464*0%,IF(H464=35,H464*2%,IF(H464=60,H464*5%,IF(H464=100,H464*6%,IF(H464=140,H464*8%,)))))</f>
        <v>0</v>
      </c>
      <c r="J464" s="2">
        <f>(H464-I464)*F464</f>
        <v>2500</v>
      </c>
    </row>
    <row r="465" spans="1:10" ht="16.5" x14ac:dyDescent="0.3">
      <c r="A465" s="4">
        <v>42861</v>
      </c>
      <c r="B465" s="2" t="s">
        <v>15</v>
      </c>
      <c r="C465" s="2">
        <v>1463</v>
      </c>
      <c r="D465" s="2" t="s">
        <v>14</v>
      </c>
      <c r="E465" s="2" t="s">
        <v>25</v>
      </c>
      <c r="F465" s="2">
        <v>30</v>
      </c>
      <c r="G465" s="2">
        <v>1</v>
      </c>
      <c r="H465" s="2">
        <v>32</v>
      </c>
      <c r="I465" s="2">
        <f>IF(H465=0,H465*0%,IF(H465=35,H465*2%,IF(H465=60,H465*5%,IF(H465=100,H465*6%,IF(H465=140,H465*8%,)))))</f>
        <v>0</v>
      </c>
      <c r="J465" s="2">
        <f>(H465-I465)*F465</f>
        <v>960</v>
      </c>
    </row>
    <row r="466" spans="1:10" ht="16.5" x14ac:dyDescent="0.3">
      <c r="A466" s="4">
        <v>42897</v>
      </c>
      <c r="B466" s="2" t="s">
        <v>15</v>
      </c>
      <c r="C466" s="2">
        <v>1464</v>
      </c>
      <c r="D466" s="2" t="s">
        <v>18</v>
      </c>
      <c r="E466" s="2" t="s">
        <v>24</v>
      </c>
      <c r="F466" s="2">
        <v>30</v>
      </c>
      <c r="G466" s="2">
        <v>1</v>
      </c>
      <c r="H466" s="2">
        <v>75</v>
      </c>
      <c r="I466" s="2">
        <f>IF(H466=0,H466*0%,IF(H466=35,H466*2%,IF(H466=60,H466*5%,IF(H466=100,H466*6%,IF(H466=140,H466*8%,)))))</f>
        <v>0</v>
      </c>
      <c r="J466" s="2">
        <f>(H466-I466)*F466</f>
        <v>2250</v>
      </c>
    </row>
    <row r="467" spans="1:10" ht="16.5" x14ac:dyDescent="0.3">
      <c r="A467" s="4">
        <v>42779</v>
      </c>
      <c r="B467" s="2" t="s">
        <v>15</v>
      </c>
      <c r="C467" s="2">
        <v>1465</v>
      </c>
      <c r="D467" s="2" t="s">
        <v>11</v>
      </c>
      <c r="E467" s="2" t="s">
        <v>22</v>
      </c>
      <c r="F467" s="2">
        <v>30</v>
      </c>
      <c r="G467" s="2">
        <v>1</v>
      </c>
      <c r="H467" s="2">
        <v>105</v>
      </c>
      <c r="I467" s="2">
        <f>IF(H467=0,H467*0%,IF(H467=35,H467*2%,IF(H467=60,H467*5%,IF(H467=100,H467*6%,IF(H467=140,H467*8%,)))))</f>
        <v>0</v>
      </c>
      <c r="J467" s="2">
        <f>(H467-I467)*F467</f>
        <v>3150</v>
      </c>
    </row>
    <row r="468" spans="1:10" ht="16.5" x14ac:dyDescent="0.3">
      <c r="A468" s="4">
        <v>42745</v>
      </c>
      <c r="B468" s="2" t="s">
        <v>13</v>
      </c>
      <c r="C468" s="2">
        <v>1466</v>
      </c>
      <c r="D468" s="2" t="s">
        <v>14</v>
      </c>
      <c r="E468" s="2" t="s">
        <v>17</v>
      </c>
      <c r="F468" s="2">
        <v>50</v>
      </c>
      <c r="G468" s="2">
        <v>1</v>
      </c>
      <c r="H468" s="2">
        <v>80</v>
      </c>
      <c r="I468" s="2">
        <f>IF(H468=0,H468*0%,IF(H468=35,H468*2%,IF(H468=60,H468*5%,IF(H468=100,H468*6%,IF(H468=140,H468*8%,)))))</f>
        <v>0</v>
      </c>
      <c r="J468" s="2">
        <f>(H468-I468)*F468</f>
        <v>4000</v>
      </c>
    </row>
    <row r="469" spans="1:10" ht="16.5" x14ac:dyDescent="0.3">
      <c r="A469" s="4">
        <v>42824</v>
      </c>
      <c r="B469" s="2" t="s">
        <v>10</v>
      </c>
      <c r="C469" s="2">
        <v>1467</v>
      </c>
      <c r="D469" s="2" t="s">
        <v>14</v>
      </c>
      <c r="E469" s="2" t="s">
        <v>12</v>
      </c>
      <c r="F469" s="2">
        <v>70</v>
      </c>
      <c r="G469" s="2">
        <v>1</v>
      </c>
      <c r="H469" s="2">
        <v>45</v>
      </c>
      <c r="I469" s="2">
        <f>IF(H469=0,H469*0%,IF(H469=35,H469*2%,IF(H469=60,H469*5%,IF(H469=100,H469*6%,IF(H469=140,H469*8%,)))))</f>
        <v>0</v>
      </c>
      <c r="J469" s="2">
        <f>(H469-I469)*F469</f>
        <v>3150</v>
      </c>
    </row>
    <row r="470" spans="1:10" ht="16.5" x14ac:dyDescent="0.3">
      <c r="A470" s="4">
        <v>42814</v>
      </c>
      <c r="B470" s="2" t="s">
        <v>13</v>
      </c>
      <c r="C470" s="2">
        <v>1468</v>
      </c>
      <c r="D470" s="2" t="s">
        <v>18</v>
      </c>
      <c r="E470" s="2" t="s">
        <v>17</v>
      </c>
      <c r="F470" s="2">
        <v>50</v>
      </c>
      <c r="G470" s="2">
        <v>1</v>
      </c>
      <c r="H470" s="2">
        <v>130</v>
      </c>
      <c r="I470" s="2">
        <f>IF(H470=0,H470*0%,IF(H470=35,H470*2%,IF(H470=60,H470*5%,IF(H470=100,H470*6%,IF(H470=140,H470*8%,)))))</f>
        <v>0</v>
      </c>
      <c r="J470" s="2">
        <f>(H470-I470)*F470</f>
        <v>6500</v>
      </c>
    </row>
    <row r="471" spans="1:10" ht="16.5" x14ac:dyDescent="0.3">
      <c r="A471" s="4">
        <v>42853</v>
      </c>
      <c r="B471" s="2" t="s">
        <v>10</v>
      </c>
      <c r="C471" s="2">
        <v>1469</v>
      </c>
      <c r="D471" s="2" t="s">
        <v>23</v>
      </c>
      <c r="E471" s="2" t="s">
        <v>20</v>
      </c>
      <c r="F471" s="2">
        <v>70</v>
      </c>
      <c r="G471" s="2">
        <v>3</v>
      </c>
      <c r="H471" s="2">
        <v>90</v>
      </c>
      <c r="I471" s="2">
        <f>IF(H471=0,H471*0%,IF(H471=35,H471*2%,IF(H471=60,H471*5%,IF(H471=100,H471*6%,IF(H471=140,H471*8%,)))))</f>
        <v>0</v>
      </c>
      <c r="J471" s="2">
        <f>(H471-I471)*F471</f>
        <v>6300</v>
      </c>
    </row>
    <row r="472" spans="1:10" ht="16.5" x14ac:dyDescent="0.3">
      <c r="A472" s="4">
        <v>42766</v>
      </c>
      <c r="B472" s="2" t="s">
        <v>10</v>
      </c>
      <c r="C472" s="2">
        <v>1470</v>
      </c>
      <c r="D472" s="2" t="s">
        <v>27</v>
      </c>
      <c r="E472" s="2" t="s">
        <v>28</v>
      </c>
      <c r="F472" s="2">
        <v>70</v>
      </c>
      <c r="G472" s="2">
        <v>1</v>
      </c>
      <c r="H472" s="2">
        <v>35</v>
      </c>
      <c r="I472" s="2">
        <f>IF(H472=0,H472*0%,IF(H472=35,H472*2%,IF(H472=60,H472*5%,IF(H472=100,H472*6%,IF(H472=140,H472*8%,)))))</f>
        <v>0.70000000000000007</v>
      </c>
      <c r="J472" s="2">
        <f>(H472-I472)*F472</f>
        <v>2401</v>
      </c>
    </row>
    <row r="473" spans="1:10" ht="16.5" x14ac:dyDescent="0.3">
      <c r="A473" s="4">
        <v>42904</v>
      </c>
      <c r="B473" s="2" t="s">
        <v>15</v>
      </c>
      <c r="C473" s="2">
        <v>1471</v>
      </c>
      <c r="D473" s="2" t="s">
        <v>27</v>
      </c>
      <c r="E473" s="2" t="s">
        <v>21</v>
      </c>
      <c r="F473" s="2">
        <v>30</v>
      </c>
      <c r="G473" s="2">
        <v>1</v>
      </c>
      <c r="H473" s="2">
        <v>75</v>
      </c>
      <c r="I473" s="2">
        <f>IF(H473=0,H473*0%,IF(H473=35,H473*2%,IF(H473=60,H473*5%,IF(H473=100,H473*6%,IF(H473=140,H473*8%,)))))</f>
        <v>0</v>
      </c>
      <c r="J473" s="2">
        <f>(H473-I473)*F473</f>
        <v>2250</v>
      </c>
    </row>
    <row r="474" spans="1:10" ht="16.5" x14ac:dyDescent="0.3">
      <c r="A474" s="4">
        <v>42791</v>
      </c>
      <c r="B474" s="2" t="s">
        <v>10</v>
      </c>
      <c r="C474" s="2">
        <v>1472</v>
      </c>
      <c r="D474" s="2" t="s">
        <v>14</v>
      </c>
      <c r="E474" s="2" t="s">
        <v>21</v>
      </c>
      <c r="F474" s="2">
        <v>70</v>
      </c>
      <c r="G474" s="2">
        <v>2</v>
      </c>
      <c r="H474" s="2">
        <v>80</v>
      </c>
      <c r="I474" s="2">
        <f>IF(H474=0,H474*0%,IF(H474=35,H474*2%,IF(H474=60,H474*5%,IF(H474=100,H474*6%,IF(H474=140,H474*8%,)))))</f>
        <v>0</v>
      </c>
      <c r="J474" s="2">
        <f>(H474-I474)*F474</f>
        <v>5600</v>
      </c>
    </row>
    <row r="475" spans="1:10" ht="16.5" x14ac:dyDescent="0.3">
      <c r="A475" s="4">
        <v>42860</v>
      </c>
      <c r="B475" s="2" t="s">
        <v>13</v>
      </c>
      <c r="C475" s="2">
        <v>1473</v>
      </c>
      <c r="D475" s="2" t="s">
        <v>11</v>
      </c>
      <c r="E475" s="2" t="s">
        <v>12</v>
      </c>
      <c r="F475" s="2">
        <v>50</v>
      </c>
      <c r="G475" s="2">
        <v>1</v>
      </c>
      <c r="H475" s="2">
        <v>80</v>
      </c>
      <c r="I475" s="2">
        <f>IF(H475=0,H475*0%,IF(H475=35,H475*2%,IF(H475=60,H475*5%,IF(H475=100,H475*6%,IF(H475=140,H475*8%,)))))</f>
        <v>0</v>
      </c>
      <c r="J475" s="2">
        <f>(H475-I475)*F475</f>
        <v>4000</v>
      </c>
    </row>
    <row r="476" spans="1:10" ht="16.5" x14ac:dyDescent="0.3">
      <c r="A476" s="4">
        <v>42745</v>
      </c>
      <c r="B476" s="2" t="s">
        <v>13</v>
      </c>
      <c r="C476" s="2">
        <v>1474</v>
      </c>
      <c r="D476" s="2" t="s">
        <v>23</v>
      </c>
      <c r="E476" s="2" t="s">
        <v>20</v>
      </c>
      <c r="F476" s="2">
        <v>50</v>
      </c>
      <c r="G476" s="2">
        <v>1</v>
      </c>
      <c r="H476" s="2">
        <v>75</v>
      </c>
      <c r="I476" s="2">
        <f>IF(H476=0,H476*0%,IF(H476=35,H476*2%,IF(H476=60,H476*5%,IF(H476=100,H476*6%,IF(H476=140,H476*8%,)))))</f>
        <v>0</v>
      </c>
      <c r="J476" s="2">
        <f>(H476-I476)*F476</f>
        <v>3750</v>
      </c>
    </row>
    <row r="477" spans="1:10" ht="16.5" x14ac:dyDescent="0.3">
      <c r="A477" s="4">
        <v>42801</v>
      </c>
      <c r="B477" s="2" t="s">
        <v>15</v>
      </c>
      <c r="C477" s="2">
        <v>1475</v>
      </c>
      <c r="D477" s="2" t="s">
        <v>27</v>
      </c>
      <c r="E477" s="2" t="s">
        <v>24</v>
      </c>
      <c r="F477" s="2">
        <v>30</v>
      </c>
      <c r="G477" s="2">
        <v>1</v>
      </c>
      <c r="H477" s="2">
        <v>130</v>
      </c>
      <c r="I477" s="2">
        <f>IF(H477=0,H477*0%,IF(H477=35,H477*2%,IF(H477=60,H477*5%,IF(H477=100,H477*6%,IF(H477=140,H477*8%,)))))</f>
        <v>0</v>
      </c>
      <c r="J477" s="2">
        <f>(H477-I477)*F477</f>
        <v>3900</v>
      </c>
    </row>
    <row r="478" spans="1:10" ht="16.5" x14ac:dyDescent="0.3">
      <c r="A478" s="4">
        <v>42791</v>
      </c>
      <c r="B478" s="2" t="s">
        <v>15</v>
      </c>
      <c r="C478" s="2">
        <v>1476</v>
      </c>
      <c r="D478" s="2" t="s">
        <v>11</v>
      </c>
      <c r="E478" s="2" t="s">
        <v>26</v>
      </c>
      <c r="F478" s="2">
        <v>30</v>
      </c>
      <c r="G478" s="2">
        <v>1</v>
      </c>
      <c r="H478" s="2">
        <v>90</v>
      </c>
      <c r="I478" s="2">
        <f>IF(H478=0,H478*0%,IF(H478=35,H478*2%,IF(H478=60,H478*5%,IF(H478=100,H478*6%,IF(H478=140,H478*8%,)))))</f>
        <v>0</v>
      </c>
      <c r="J478" s="2">
        <f>(H478-I478)*F478</f>
        <v>2700</v>
      </c>
    </row>
    <row r="479" spans="1:10" ht="16.5" x14ac:dyDescent="0.3">
      <c r="A479" s="4">
        <v>42861</v>
      </c>
      <c r="B479" s="2" t="s">
        <v>13</v>
      </c>
      <c r="C479" s="2">
        <v>1477</v>
      </c>
      <c r="D479" s="2" t="s">
        <v>11</v>
      </c>
      <c r="E479" s="2" t="s">
        <v>21</v>
      </c>
      <c r="F479" s="2">
        <v>50</v>
      </c>
      <c r="G479" s="2">
        <v>1</v>
      </c>
      <c r="H479" s="2">
        <v>45</v>
      </c>
      <c r="I479" s="2">
        <f>IF(H479=0,H479*0%,IF(H479=35,H479*2%,IF(H479=60,H479*5%,IF(H479=100,H479*6%,IF(H479=140,H479*8%,)))))</f>
        <v>0</v>
      </c>
      <c r="J479" s="2">
        <f>(H479-I479)*F479</f>
        <v>2250</v>
      </c>
    </row>
    <row r="480" spans="1:10" ht="16.5" x14ac:dyDescent="0.3">
      <c r="A480" s="4">
        <v>42794</v>
      </c>
      <c r="B480" s="2" t="s">
        <v>15</v>
      </c>
      <c r="C480" s="2">
        <v>1478</v>
      </c>
      <c r="D480" s="2" t="s">
        <v>14</v>
      </c>
      <c r="E480" s="2" t="s">
        <v>26</v>
      </c>
      <c r="F480" s="2">
        <v>30</v>
      </c>
      <c r="G480" s="2">
        <v>1</v>
      </c>
      <c r="H480" s="2">
        <v>80</v>
      </c>
      <c r="I480" s="2">
        <f>IF(H480=0,H480*0%,IF(H480=35,H480*2%,IF(H480=60,H480*5%,IF(H480=100,H480*6%,IF(H480=140,H480*8%,)))))</f>
        <v>0</v>
      </c>
      <c r="J480" s="2">
        <f>(H480-I480)*F480</f>
        <v>2400</v>
      </c>
    </row>
    <row r="481" spans="1:10" ht="16.5" x14ac:dyDescent="0.3">
      <c r="A481" s="4">
        <v>42851</v>
      </c>
      <c r="B481" s="2" t="s">
        <v>10</v>
      </c>
      <c r="C481" s="2">
        <v>1479</v>
      </c>
      <c r="D481" s="2" t="s">
        <v>18</v>
      </c>
      <c r="E481" s="2" t="s">
        <v>20</v>
      </c>
      <c r="F481" s="2">
        <v>70</v>
      </c>
      <c r="G481" s="2">
        <v>3</v>
      </c>
      <c r="H481" s="2">
        <v>40</v>
      </c>
      <c r="I481" s="2">
        <f>IF(H481=0,H481*0%,IF(H481=35,H481*2%,IF(H481=60,H481*5%,IF(H481=100,H481*6%,IF(H481=140,H481*8%,)))))</f>
        <v>0</v>
      </c>
      <c r="J481" s="2">
        <f>(H481-I481)*F481</f>
        <v>2800</v>
      </c>
    </row>
    <row r="482" spans="1:10" ht="16.5" x14ac:dyDescent="0.3">
      <c r="A482" s="4">
        <v>42744</v>
      </c>
      <c r="B482" s="2" t="s">
        <v>10</v>
      </c>
      <c r="C482" s="2">
        <v>1480</v>
      </c>
      <c r="D482" s="2" t="s">
        <v>11</v>
      </c>
      <c r="E482" s="2" t="s">
        <v>20</v>
      </c>
      <c r="F482" s="2">
        <v>70</v>
      </c>
      <c r="G482" s="2">
        <v>3</v>
      </c>
      <c r="H482" s="2">
        <v>105</v>
      </c>
      <c r="I482" s="2">
        <f>IF(H482=0,H482*0%,IF(H482=35,H482*2%,IF(H482=60,H482*5%,IF(H482=100,H482*6%,IF(H482=140,H482*8%,)))))</f>
        <v>0</v>
      </c>
      <c r="J482" s="2">
        <f>(H482-I482)*F482</f>
        <v>7350</v>
      </c>
    </row>
    <row r="483" spans="1:10" ht="16.5" x14ac:dyDescent="0.3">
      <c r="A483" s="4">
        <v>42915</v>
      </c>
      <c r="B483" s="2" t="s">
        <v>10</v>
      </c>
      <c r="C483" s="2">
        <v>1481</v>
      </c>
      <c r="D483" s="2" t="s">
        <v>18</v>
      </c>
      <c r="E483" s="2" t="s">
        <v>28</v>
      </c>
      <c r="F483" s="2">
        <v>70</v>
      </c>
      <c r="G483" s="2">
        <v>1</v>
      </c>
      <c r="H483" s="2">
        <v>115</v>
      </c>
      <c r="I483" s="2">
        <f>IF(H483=0,H483*0%,IF(H483=35,H483*2%,IF(H483=60,H483*5%,IF(H483=100,H483*6%,IF(H483=140,H483*8%,)))))</f>
        <v>0</v>
      </c>
      <c r="J483" s="2">
        <f>(H483-I483)*F483</f>
        <v>8050</v>
      </c>
    </row>
    <row r="484" spans="1:10" ht="16.5" x14ac:dyDescent="0.3">
      <c r="A484" s="4">
        <v>42764</v>
      </c>
      <c r="B484" s="2" t="s">
        <v>15</v>
      </c>
      <c r="C484" s="2">
        <v>1482</v>
      </c>
      <c r="D484" s="2" t="s">
        <v>16</v>
      </c>
      <c r="E484" s="2" t="s">
        <v>12</v>
      </c>
      <c r="F484" s="2">
        <v>30</v>
      </c>
      <c r="G484" s="2">
        <v>1</v>
      </c>
      <c r="H484" s="2">
        <v>80</v>
      </c>
      <c r="I484" s="2">
        <f>IF(H484=0,H484*0%,IF(H484=35,H484*2%,IF(H484=60,H484*5%,IF(H484=100,H484*6%,IF(H484=140,H484*8%,)))))</f>
        <v>0</v>
      </c>
      <c r="J484" s="2">
        <f>(H484-I484)*F484</f>
        <v>2400</v>
      </c>
    </row>
    <row r="485" spans="1:10" ht="16.5" x14ac:dyDescent="0.3">
      <c r="A485" s="4">
        <v>42907</v>
      </c>
      <c r="B485" s="2" t="s">
        <v>10</v>
      </c>
      <c r="C485" s="2">
        <v>1483</v>
      </c>
      <c r="D485" s="2" t="s">
        <v>23</v>
      </c>
      <c r="E485" s="2" t="s">
        <v>26</v>
      </c>
      <c r="F485" s="2">
        <v>70</v>
      </c>
      <c r="G485" s="2">
        <v>1</v>
      </c>
      <c r="H485" s="2">
        <v>75</v>
      </c>
      <c r="I485" s="2">
        <f>IF(H485=0,H485*0%,IF(H485=35,H485*2%,IF(H485=60,H485*5%,IF(H485=100,H485*6%,IF(H485=140,H485*8%,)))))</f>
        <v>0</v>
      </c>
      <c r="J485" s="2">
        <f>(H485-I485)*F485</f>
        <v>5250</v>
      </c>
    </row>
    <row r="486" spans="1:10" ht="16.5" x14ac:dyDescent="0.3">
      <c r="A486" s="4">
        <v>42767</v>
      </c>
      <c r="B486" s="2" t="s">
        <v>10</v>
      </c>
      <c r="C486" s="2">
        <v>1484</v>
      </c>
      <c r="D486" s="2" t="s">
        <v>11</v>
      </c>
      <c r="E486" s="2" t="s">
        <v>26</v>
      </c>
      <c r="F486" s="2">
        <v>70</v>
      </c>
      <c r="G486" s="2">
        <v>1</v>
      </c>
      <c r="H486" s="2">
        <v>120</v>
      </c>
      <c r="I486" s="2">
        <f>IF(H486=0,H486*0%,IF(H486=35,H486*2%,IF(H486=60,H486*5%,IF(H486=100,H486*6%,IF(H486=140,H486*8%,)))))</f>
        <v>0</v>
      </c>
      <c r="J486" s="2">
        <f>(H486-I486)*F486</f>
        <v>8400</v>
      </c>
    </row>
    <row r="487" spans="1:10" ht="16.5" x14ac:dyDescent="0.3">
      <c r="A487" s="4">
        <v>42749</v>
      </c>
      <c r="B487" s="2" t="s">
        <v>10</v>
      </c>
      <c r="C487" s="2">
        <v>1485</v>
      </c>
      <c r="D487" s="2" t="s">
        <v>16</v>
      </c>
      <c r="E487" s="2" t="s">
        <v>28</v>
      </c>
      <c r="F487" s="2">
        <v>70</v>
      </c>
      <c r="G487" s="2">
        <v>1</v>
      </c>
      <c r="H487" s="2">
        <v>75</v>
      </c>
      <c r="I487" s="2">
        <f>IF(H487=0,H487*0%,IF(H487=35,H487*2%,IF(H487=60,H487*5%,IF(H487=100,H487*6%,IF(H487=140,H487*8%,)))))</f>
        <v>0</v>
      </c>
      <c r="J487" s="2">
        <f>(H487-I487)*F487</f>
        <v>5250</v>
      </c>
    </row>
    <row r="488" spans="1:10" ht="16.5" x14ac:dyDescent="0.3">
      <c r="A488" s="4">
        <v>42839</v>
      </c>
      <c r="B488" s="2" t="s">
        <v>15</v>
      </c>
      <c r="C488" s="2">
        <v>1486</v>
      </c>
      <c r="D488" s="2" t="s">
        <v>16</v>
      </c>
      <c r="E488" s="2" t="s">
        <v>17</v>
      </c>
      <c r="F488" s="2">
        <v>30</v>
      </c>
      <c r="G488" s="2">
        <v>1</v>
      </c>
      <c r="H488" s="2">
        <v>50</v>
      </c>
      <c r="I488" s="2">
        <f>IF(H488=0,H488*0%,IF(H488=35,H488*2%,IF(H488=60,H488*5%,IF(H488=100,H488*6%,IF(H488=140,H488*8%,)))))</f>
        <v>0</v>
      </c>
      <c r="J488" s="2">
        <f>(H488-I488)*F488</f>
        <v>1500</v>
      </c>
    </row>
    <row r="489" spans="1:10" ht="16.5" x14ac:dyDescent="0.3">
      <c r="A489" s="4">
        <v>42881</v>
      </c>
      <c r="B489" s="2" t="s">
        <v>10</v>
      </c>
      <c r="C489" s="2">
        <v>1487</v>
      </c>
      <c r="D489" s="2" t="s">
        <v>14</v>
      </c>
      <c r="E489" s="2" t="s">
        <v>21</v>
      </c>
      <c r="F489" s="2">
        <v>70</v>
      </c>
      <c r="G489" s="2">
        <v>2</v>
      </c>
      <c r="H489" s="2">
        <v>45</v>
      </c>
      <c r="I489" s="2">
        <f>IF(H489=0,H489*0%,IF(H489=35,H489*2%,IF(H489=60,H489*5%,IF(H489=100,H489*6%,IF(H489=140,H489*8%,)))))</f>
        <v>0</v>
      </c>
      <c r="J489" s="2">
        <f>(H489-I489)*F489</f>
        <v>3150</v>
      </c>
    </row>
    <row r="490" spans="1:10" ht="16.5" x14ac:dyDescent="0.3">
      <c r="A490" s="4">
        <v>42900</v>
      </c>
      <c r="B490" s="2" t="s">
        <v>10</v>
      </c>
      <c r="C490" s="2">
        <v>1488</v>
      </c>
      <c r="D490" s="2" t="s">
        <v>16</v>
      </c>
      <c r="E490" s="2" t="s">
        <v>28</v>
      </c>
      <c r="F490" s="2">
        <v>70</v>
      </c>
      <c r="G490" s="2">
        <v>1</v>
      </c>
      <c r="H490" s="2">
        <v>130</v>
      </c>
      <c r="I490" s="2">
        <f>IF(H490=0,H490*0%,IF(H490=35,H490*2%,IF(H490=60,H490*5%,IF(H490=100,H490*6%,IF(H490=140,H490*8%,)))))</f>
        <v>0</v>
      </c>
      <c r="J490" s="2">
        <f>(H490-I490)*F490</f>
        <v>9100</v>
      </c>
    </row>
    <row r="491" spans="1:10" ht="16.5" x14ac:dyDescent="0.3">
      <c r="A491" s="4">
        <v>42782</v>
      </c>
      <c r="B491" s="2" t="s">
        <v>15</v>
      </c>
      <c r="C491" s="2">
        <v>1489</v>
      </c>
      <c r="D491" s="2" t="s">
        <v>11</v>
      </c>
      <c r="E491" s="2" t="s">
        <v>12</v>
      </c>
      <c r="F491" s="2">
        <v>30</v>
      </c>
      <c r="G491" s="2">
        <v>1</v>
      </c>
      <c r="H491" s="2">
        <v>90</v>
      </c>
      <c r="I491" s="2">
        <f>IF(H491=0,H491*0%,IF(H491=35,H491*2%,IF(H491=60,H491*5%,IF(H491=100,H491*6%,IF(H491=140,H491*8%,)))))</f>
        <v>0</v>
      </c>
      <c r="J491" s="2">
        <f>(H491-I491)*F491</f>
        <v>2700</v>
      </c>
    </row>
    <row r="492" spans="1:10" ht="16.5" x14ac:dyDescent="0.3">
      <c r="A492" s="4">
        <v>42904</v>
      </c>
      <c r="B492" s="2" t="s">
        <v>13</v>
      </c>
      <c r="C492" s="2">
        <v>1490</v>
      </c>
      <c r="D492" s="2" t="s">
        <v>23</v>
      </c>
      <c r="E492" s="2" t="s">
        <v>21</v>
      </c>
      <c r="F492" s="2">
        <v>50</v>
      </c>
      <c r="G492" s="2">
        <v>1</v>
      </c>
      <c r="H492" s="2">
        <v>45</v>
      </c>
      <c r="I492" s="2">
        <f>IF(H492=0,H492*0%,IF(H492=35,H492*2%,IF(H492=60,H492*5%,IF(H492=100,H492*6%,IF(H492=140,H492*8%,)))))</f>
        <v>0</v>
      </c>
      <c r="J492" s="2">
        <f>(H492-I492)*F492</f>
        <v>2250</v>
      </c>
    </row>
    <row r="493" spans="1:10" ht="16.5" x14ac:dyDescent="0.3">
      <c r="A493" s="4">
        <v>42867</v>
      </c>
      <c r="B493" s="2" t="s">
        <v>13</v>
      </c>
      <c r="C493" s="2">
        <v>1491</v>
      </c>
      <c r="D493" s="2" t="s">
        <v>27</v>
      </c>
      <c r="E493" s="2" t="s">
        <v>17</v>
      </c>
      <c r="F493" s="2">
        <v>50</v>
      </c>
      <c r="G493" s="2">
        <v>1</v>
      </c>
      <c r="H493" s="2">
        <v>50</v>
      </c>
      <c r="I493" s="2">
        <f>IF(H493=0,H493*0%,IF(H493=35,H493*2%,IF(H493=60,H493*5%,IF(H493=100,H493*6%,IF(H493=140,H493*8%,)))))</f>
        <v>0</v>
      </c>
      <c r="J493" s="2">
        <f>(H493-I493)*F493</f>
        <v>2500</v>
      </c>
    </row>
    <row r="494" spans="1:10" ht="16.5" x14ac:dyDescent="0.3">
      <c r="A494" s="4">
        <v>42874</v>
      </c>
      <c r="B494" s="2" t="s">
        <v>13</v>
      </c>
      <c r="C494" s="2">
        <v>1492</v>
      </c>
      <c r="D494" s="2" t="s">
        <v>27</v>
      </c>
      <c r="E494" s="2" t="s">
        <v>25</v>
      </c>
      <c r="F494" s="2">
        <v>50</v>
      </c>
      <c r="G494" s="2">
        <v>1</v>
      </c>
      <c r="H494" s="2">
        <v>50</v>
      </c>
      <c r="I494" s="2">
        <f>IF(H494=0,H494*0%,IF(H494=35,H494*2%,IF(H494=60,H494*5%,IF(H494=100,H494*6%,IF(H494=140,H494*8%,)))))</f>
        <v>0</v>
      </c>
      <c r="J494" s="2">
        <f>(H494-I494)*F494</f>
        <v>2500</v>
      </c>
    </row>
    <row r="495" spans="1:10" ht="16.5" x14ac:dyDescent="0.3">
      <c r="A495" s="4">
        <v>42856</v>
      </c>
      <c r="B495" s="2" t="s">
        <v>13</v>
      </c>
      <c r="C495" s="2">
        <v>1493</v>
      </c>
      <c r="D495" s="2" t="s">
        <v>11</v>
      </c>
      <c r="E495" s="2" t="s">
        <v>20</v>
      </c>
      <c r="F495" s="2">
        <v>50</v>
      </c>
      <c r="G495" s="2">
        <v>1</v>
      </c>
      <c r="H495" s="2">
        <v>45</v>
      </c>
      <c r="I495" s="2">
        <f>IF(H495=0,H495*0%,IF(H495=35,H495*2%,IF(H495=60,H495*5%,IF(H495=100,H495*6%,IF(H495=140,H495*8%,)))))</f>
        <v>0</v>
      </c>
      <c r="J495" s="2">
        <f>(H495-I495)*F495</f>
        <v>2250</v>
      </c>
    </row>
    <row r="496" spans="1:10" ht="16.5" x14ac:dyDescent="0.3">
      <c r="A496" s="4">
        <v>42819</v>
      </c>
      <c r="B496" s="2" t="s">
        <v>15</v>
      </c>
      <c r="C496" s="2">
        <v>1494</v>
      </c>
      <c r="D496" s="2" t="s">
        <v>14</v>
      </c>
      <c r="E496" s="2" t="s">
        <v>28</v>
      </c>
      <c r="F496" s="2">
        <v>30</v>
      </c>
      <c r="G496" s="2">
        <v>1</v>
      </c>
      <c r="H496" s="2">
        <v>130</v>
      </c>
      <c r="I496" s="2">
        <f>IF(H496=0,H496*0%,IF(H496=35,H496*2%,IF(H496=60,H496*5%,IF(H496=100,H496*6%,IF(H496=140,H496*8%,)))))</f>
        <v>0</v>
      </c>
      <c r="J496" s="2">
        <f>(H496-I496)*F496</f>
        <v>3900</v>
      </c>
    </row>
    <row r="497" spans="1:10" ht="16.5" x14ac:dyDescent="0.3">
      <c r="A497" s="4">
        <v>42755</v>
      </c>
      <c r="B497" s="2" t="s">
        <v>13</v>
      </c>
      <c r="C497" s="2">
        <v>1495</v>
      </c>
      <c r="D497" s="2" t="s">
        <v>23</v>
      </c>
      <c r="E497" s="2" t="s">
        <v>24</v>
      </c>
      <c r="F497" s="2">
        <v>50</v>
      </c>
      <c r="G497" s="2">
        <v>1</v>
      </c>
      <c r="H497" s="2">
        <v>80</v>
      </c>
      <c r="I497" s="2">
        <f>IF(H497=0,H497*0%,IF(H497=35,H497*2%,IF(H497=60,H497*5%,IF(H497=100,H497*6%,IF(H497=140,H497*8%,)))))</f>
        <v>0</v>
      </c>
      <c r="J497" s="2">
        <f>(H497-I497)*F497</f>
        <v>4000</v>
      </c>
    </row>
    <row r="498" spans="1:10" ht="16.5" x14ac:dyDescent="0.3">
      <c r="A498" s="4">
        <v>42913</v>
      </c>
      <c r="B498" s="2" t="s">
        <v>15</v>
      </c>
      <c r="C498" s="2">
        <v>1496</v>
      </c>
      <c r="D498" s="2" t="s">
        <v>18</v>
      </c>
      <c r="E498" s="2" t="s">
        <v>19</v>
      </c>
      <c r="F498" s="2">
        <v>30</v>
      </c>
      <c r="G498" s="2">
        <v>1</v>
      </c>
      <c r="H498" s="2">
        <v>50</v>
      </c>
      <c r="I498" s="2">
        <f>IF(H498=0,H498*0%,IF(H498=35,H498*2%,IF(H498=60,H498*5%,IF(H498=100,H498*6%,IF(H498=140,H498*8%,)))))</f>
        <v>0</v>
      </c>
      <c r="J498" s="2">
        <f>(H498-I498)*F498</f>
        <v>1500</v>
      </c>
    </row>
    <row r="499" spans="1:10" ht="16.5" x14ac:dyDescent="0.3">
      <c r="A499" s="4">
        <v>42806</v>
      </c>
      <c r="B499" s="2" t="s">
        <v>13</v>
      </c>
      <c r="C499" s="2">
        <v>1497</v>
      </c>
      <c r="D499" s="2" t="s">
        <v>11</v>
      </c>
      <c r="E499" s="2" t="s">
        <v>19</v>
      </c>
      <c r="F499" s="2">
        <v>50</v>
      </c>
      <c r="G499" s="2">
        <v>1</v>
      </c>
      <c r="H499" s="2">
        <v>75</v>
      </c>
      <c r="I499" s="2">
        <f>IF(H499=0,H499*0%,IF(H499=35,H499*2%,IF(H499=60,H499*5%,IF(H499=100,H499*6%,IF(H499=140,H499*8%,)))))</f>
        <v>0</v>
      </c>
      <c r="J499" s="2">
        <f>(H499-I499)*F499</f>
        <v>3750</v>
      </c>
    </row>
    <row r="500" spans="1:10" ht="16.5" x14ac:dyDescent="0.3">
      <c r="A500" s="4">
        <v>42865</v>
      </c>
      <c r="B500" s="2" t="s">
        <v>10</v>
      </c>
      <c r="C500" s="2">
        <v>1498</v>
      </c>
      <c r="D500" s="2" t="s">
        <v>18</v>
      </c>
      <c r="E500" s="2" t="s">
        <v>19</v>
      </c>
      <c r="F500" s="2">
        <v>70</v>
      </c>
      <c r="G500" s="2">
        <v>1</v>
      </c>
      <c r="H500" s="2">
        <v>80</v>
      </c>
      <c r="I500" s="2">
        <f>IF(H500=0,H500*0%,IF(H500=35,H500*2%,IF(H500=60,H500*5%,IF(H500=100,H500*6%,IF(H500=140,H500*8%,)))))</f>
        <v>0</v>
      </c>
      <c r="J500" s="2">
        <f>(H500-I500)*F500</f>
        <v>5600</v>
      </c>
    </row>
    <row r="501" spans="1:10" ht="16.5" x14ac:dyDescent="0.3">
      <c r="A501" s="4">
        <v>42903</v>
      </c>
      <c r="B501" s="2" t="s">
        <v>10</v>
      </c>
      <c r="C501" s="2">
        <v>1499</v>
      </c>
      <c r="D501" s="2" t="s">
        <v>11</v>
      </c>
      <c r="E501" s="2" t="s">
        <v>19</v>
      </c>
      <c r="F501" s="2">
        <v>70</v>
      </c>
      <c r="G501" s="2">
        <v>1</v>
      </c>
      <c r="H501" s="2">
        <v>45</v>
      </c>
      <c r="I501" s="2">
        <f>IF(H501=0,H501*0%,IF(H501=35,H501*2%,IF(H501=60,H501*5%,IF(H501=100,H501*6%,IF(H501=140,H501*8%,)))))</f>
        <v>0</v>
      </c>
      <c r="J501" s="2">
        <f>(H501-I501)*F501</f>
        <v>3150</v>
      </c>
    </row>
  </sheetData>
  <dataValidations count="1">
    <dataValidation type="list" allowBlank="1" showInputMessage="1" showErrorMessage="1" sqref="L10" xr:uid="{00000000-0002-0000-0100-000000000000}">
      <formula1>$C$2:$C$501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Database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2018-07-02T05:06:11Z</dcterms:created>
  <dcterms:modified xsi:type="dcterms:W3CDTF">2025-09-19T11:58:25Z</dcterms:modified>
</cp:coreProperties>
</file>