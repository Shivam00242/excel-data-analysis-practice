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BItts\excel\"/>
    </mc:Choice>
  </mc:AlternateContent>
  <xr:revisionPtr revIDLastSave="0" documentId="13_ncr:1_{C520BE8D-6C5E-49F8-BE66-BE20DA7F70ED}" xr6:coauthVersionLast="47" xr6:coauthVersionMax="47" xr10:uidLastSave="{00000000-0000-0000-0000-000000000000}"/>
  <bookViews>
    <workbookView xWindow="-120" yWindow="-120" windowWidth="20730" windowHeight="11160" xr2:uid="{39970BAE-A395-47E6-B48E-41024FFD7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1" l="1"/>
  <c r="Q4" i="1"/>
  <c r="N12" i="1"/>
  <c r="M8" i="1"/>
  <c r="M3" i="1"/>
  <c r="J15" i="1"/>
  <c r="I10" i="1"/>
  <c r="I5" i="1"/>
</calcChain>
</file>

<file path=xl/sharedStrings.xml><?xml version="1.0" encoding="utf-8"?>
<sst xmlns="http://schemas.openxmlformats.org/spreadsheetml/2006/main" count="69" uniqueCount="26">
  <si>
    <t>S.no</t>
  </si>
  <si>
    <t>Item</t>
  </si>
  <si>
    <t>CD</t>
  </si>
  <si>
    <t>RAM</t>
  </si>
  <si>
    <t>MONITIOR</t>
  </si>
  <si>
    <t>DVD</t>
  </si>
  <si>
    <t>MOUSE</t>
  </si>
  <si>
    <t>Company</t>
  </si>
  <si>
    <t>Writex</t>
  </si>
  <si>
    <t>Kingston</t>
  </si>
  <si>
    <t>LG</t>
  </si>
  <si>
    <t>Samsung</t>
  </si>
  <si>
    <t>Tips</t>
  </si>
  <si>
    <t>Quantum</t>
  </si>
  <si>
    <t>Intex</t>
  </si>
  <si>
    <t>AOC</t>
  </si>
  <si>
    <t>Rate</t>
  </si>
  <si>
    <t>Qty</t>
  </si>
  <si>
    <t>Total</t>
  </si>
  <si>
    <t>sum if (sum of cd)</t>
  </si>
  <si>
    <t>sum of Writex (qty)</t>
  </si>
  <si>
    <t>SUMIF AND SUMIFS</t>
  </si>
  <si>
    <t>COUNTIF AND COUNTIFS</t>
  </si>
  <si>
    <t>COUNT Writex</t>
  </si>
  <si>
    <t>COUNT Writex CD</t>
  </si>
  <si>
    <t>AVERAGEIF AND 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</si>
</sst>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2408-B759-4A70-99DF-3B952DF7F4DB}">
  <dimension ref="A1:R17"/>
  <sheetViews>
    <sheetView tabSelected="1" workbookViewId="0">
      <selection activeCell="P6" sqref="P6:R7"/>
    </sheetView>
  </sheetViews>
  <sheetFormatPr defaultRowHeight="15" x14ac:dyDescent="0.25"/>
  <sheetData>
    <row r="1" spans="1:18" x14ac:dyDescent="0.25">
      <c r="A1" s="2" t="s">
        <v>0</v>
      </c>
      <c r="B1" s="2" t="s">
        <v>1</v>
      </c>
      <c r="C1" s="2" t="s">
        <v>7</v>
      </c>
      <c r="D1" s="2" t="s">
        <v>16</v>
      </c>
      <c r="E1" s="2" t="s">
        <v>17</v>
      </c>
      <c r="F1" s="2" t="s">
        <v>18</v>
      </c>
    </row>
    <row r="2" spans="1:18" x14ac:dyDescent="0.25">
      <c r="A2" s="1">
        <v>1</v>
      </c>
      <c r="B2" s="1" t="s">
        <v>2</v>
      </c>
      <c r="C2" s="1" t="s">
        <v>8</v>
      </c>
      <c r="D2" s="1">
        <v>10</v>
      </c>
      <c r="E2" s="1">
        <v>5</v>
      </c>
      <c r="F2" s="1">
        <v>500</v>
      </c>
      <c r="H2" s="3" t="s">
        <v>21</v>
      </c>
      <c r="I2" s="3"/>
      <c r="J2" s="3"/>
      <c r="L2" s="3" t="s">
        <v>22</v>
      </c>
      <c r="M2" s="3"/>
      <c r="N2" s="3"/>
      <c r="P2" s="4" t="s">
        <v>25</v>
      </c>
      <c r="Q2" s="5"/>
      <c r="R2" s="6"/>
    </row>
    <row r="3" spans="1:18" x14ac:dyDescent="0.25">
      <c r="A3" s="1">
        <v>2</v>
      </c>
      <c r="B3" s="1" t="s">
        <v>3</v>
      </c>
      <c r="C3" s="1" t="s">
        <v>9</v>
      </c>
      <c r="D3" s="1">
        <v>450</v>
      </c>
      <c r="E3" s="1">
        <v>15</v>
      </c>
      <c r="F3" s="1">
        <v>6750</v>
      </c>
      <c r="H3" s="7" t="s">
        <v>19</v>
      </c>
      <c r="I3" s="7"/>
      <c r="J3" s="7"/>
      <c r="L3" s="7" t="s">
        <v>1</v>
      </c>
      <c r="M3" s="7">
        <f>COUNTIF(B2:B17,L4)</f>
        <v>5</v>
      </c>
      <c r="N3" s="7"/>
      <c r="P3" s="7" t="s">
        <v>1</v>
      </c>
      <c r="Q3" s="7"/>
      <c r="R3" s="7"/>
    </row>
    <row r="4" spans="1:18" x14ac:dyDescent="0.25">
      <c r="A4" s="1">
        <v>3</v>
      </c>
      <c r="B4" s="1" t="s">
        <v>4</v>
      </c>
      <c r="C4" s="1" t="s">
        <v>10</v>
      </c>
      <c r="D4" s="1">
        <v>4100</v>
      </c>
      <c r="E4" s="1">
        <v>10</v>
      </c>
      <c r="F4" s="1">
        <v>41000</v>
      </c>
      <c r="H4" s="7" t="s">
        <v>1</v>
      </c>
      <c r="I4" s="7"/>
      <c r="J4" s="7"/>
      <c r="L4" s="7" t="s">
        <v>2</v>
      </c>
      <c r="M4" s="7"/>
      <c r="N4" s="7"/>
      <c r="P4" s="7" t="s">
        <v>5</v>
      </c>
      <c r="Q4" s="7">
        <f>AVERAGEIF(B2:B17,P7,F2:F17)</f>
        <v>625</v>
      </c>
      <c r="R4" s="7"/>
    </row>
    <row r="5" spans="1:18" x14ac:dyDescent="0.25">
      <c r="A5" s="1">
        <v>4</v>
      </c>
      <c r="B5" s="1" t="s">
        <v>5</v>
      </c>
      <c r="C5" s="1" t="s">
        <v>8</v>
      </c>
      <c r="D5" s="1">
        <v>15</v>
      </c>
      <c r="E5" s="1">
        <v>40</v>
      </c>
      <c r="F5" s="1">
        <v>600</v>
      </c>
      <c r="H5" s="7" t="s">
        <v>2</v>
      </c>
      <c r="I5" s="7">
        <f>SUMIF(B2:B17,H5,F2:F17)</f>
        <v>2500</v>
      </c>
      <c r="J5" s="7"/>
      <c r="L5" s="1"/>
      <c r="M5" s="1"/>
      <c r="N5" s="1"/>
      <c r="P5" s="1"/>
      <c r="Q5" s="1"/>
      <c r="R5" s="1"/>
    </row>
    <row r="6" spans="1:18" x14ac:dyDescent="0.25">
      <c r="A6" s="1">
        <v>5</v>
      </c>
      <c r="B6" s="1" t="s">
        <v>3</v>
      </c>
      <c r="C6" s="1" t="s">
        <v>11</v>
      </c>
      <c r="D6" s="1">
        <v>550</v>
      </c>
      <c r="E6" s="1">
        <v>10</v>
      </c>
      <c r="F6" s="1">
        <v>5500</v>
      </c>
      <c r="H6" s="1"/>
      <c r="I6" s="1"/>
      <c r="J6" s="1"/>
      <c r="L6" s="7" t="s">
        <v>23</v>
      </c>
      <c r="M6" s="7"/>
      <c r="N6" s="7"/>
      <c r="P6" s="7" t="s">
        <v>1</v>
      </c>
      <c r="Q6" s="7" t="s">
        <v>7</v>
      </c>
      <c r="R6" s="7"/>
    </row>
    <row r="7" spans="1:18" x14ac:dyDescent="0.25">
      <c r="A7" s="1">
        <v>6</v>
      </c>
      <c r="B7" s="1" t="s">
        <v>2</v>
      </c>
      <c r="C7" s="1" t="s">
        <v>12</v>
      </c>
      <c r="D7" s="1">
        <v>10</v>
      </c>
      <c r="E7" s="1">
        <v>45</v>
      </c>
      <c r="F7" s="1">
        <v>450</v>
      </c>
      <c r="H7" s="1"/>
      <c r="I7" s="1"/>
      <c r="J7" s="1"/>
      <c r="L7" s="7" t="s">
        <v>7</v>
      </c>
      <c r="M7" s="7"/>
      <c r="N7" s="7"/>
      <c r="P7" s="7" t="s">
        <v>5</v>
      </c>
      <c r="Q7" s="7" t="s">
        <v>13</v>
      </c>
      <c r="R7" s="7">
        <f>AVERAGEIFS(F2:F17,C2:C17,C6,B2:B17,B6)</f>
        <v>5500</v>
      </c>
    </row>
    <row r="8" spans="1:18" x14ac:dyDescent="0.25">
      <c r="A8" s="1">
        <v>7</v>
      </c>
      <c r="B8" s="1" t="s">
        <v>6</v>
      </c>
      <c r="C8" s="1" t="s">
        <v>13</v>
      </c>
      <c r="D8" s="1">
        <v>250</v>
      </c>
      <c r="E8" s="1">
        <v>12</v>
      </c>
      <c r="F8" s="1">
        <v>3000</v>
      </c>
      <c r="H8" s="7" t="s">
        <v>20</v>
      </c>
      <c r="I8" s="7"/>
      <c r="J8" s="7"/>
      <c r="L8" s="7" t="s">
        <v>8</v>
      </c>
      <c r="M8" s="7">
        <f>COUNTIF(C2:C17,L8)</f>
        <v>5</v>
      </c>
      <c r="N8" s="7"/>
    </row>
    <row r="9" spans="1:18" x14ac:dyDescent="0.25">
      <c r="A9" s="1">
        <v>8</v>
      </c>
      <c r="B9" s="1" t="s">
        <v>5</v>
      </c>
      <c r="C9" s="1" t="s">
        <v>8</v>
      </c>
      <c r="D9" s="1">
        <v>15</v>
      </c>
      <c r="E9" s="1">
        <v>50</v>
      </c>
      <c r="F9" s="1">
        <v>750</v>
      </c>
      <c r="H9" s="7" t="s">
        <v>7</v>
      </c>
      <c r="I9" s="7"/>
      <c r="J9" s="7"/>
      <c r="L9" s="1"/>
      <c r="M9" s="1"/>
      <c r="N9" s="1"/>
    </row>
    <row r="10" spans="1:18" x14ac:dyDescent="0.25">
      <c r="A10" s="1">
        <v>9</v>
      </c>
      <c r="B10" s="1" t="s">
        <v>2</v>
      </c>
      <c r="C10" s="1" t="s">
        <v>8</v>
      </c>
      <c r="D10" s="1">
        <v>10</v>
      </c>
      <c r="E10" s="1">
        <v>50</v>
      </c>
      <c r="F10" s="1">
        <v>500</v>
      </c>
      <c r="H10" s="7" t="s">
        <v>8</v>
      </c>
      <c r="I10" s="7">
        <f>SUMIF(C2:C17,H10,E2:E17)</f>
        <v>155</v>
      </c>
      <c r="J10" s="7"/>
      <c r="L10" s="7" t="s">
        <v>24</v>
      </c>
      <c r="M10" s="7"/>
      <c r="N10" s="7"/>
    </row>
    <row r="11" spans="1:18" x14ac:dyDescent="0.25">
      <c r="A11" s="1">
        <v>10</v>
      </c>
      <c r="B11" s="1" t="s">
        <v>3</v>
      </c>
      <c r="C11" s="1" t="s">
        <v>9</v>
      </c>
      <c r="D11" s="1">
        <v>500</v>
      </c>
      <c r="E11" s="1">
        <v>5</v>
      </c>
      <c r="F11" s="1">
        <v>2500</v>
      </c>
      <c r="H11" s="1"/>
      <c r="I11" s="1"/>
      <c r="J11" s="1"/>
      <c r="L11" s="7" t="s">
        <v>7</v>
      </c>
      <c r="M11" s="7" t="s">
        <v>1</v>
      </c>
      <c r="N11" s="7"/>
    </row>
    <row r="12" spans="1:18" x14ac:dyDescent="0.25">
      <c r="A12" s="1">
        <v>11</v>
      </c>
      <c r="B12" s="1" t="s">
        <v>6</v>
      </c>
      <c r="C12" s="1" t="s">
        <v>14</v>
      </c>
      <c r="D12" s="1">
        <v>150</v>
      </c>
      <c r="E12" s="1">
        <v>12</v>
      </c>
      <c r="F12" s="1">
        <v>1800</v>
      </c>
      <c r="H12" s="7" t="s">
        <v>20</v>
      </c>
      <c r="I12" s="7"/>
      <c r="J12" s="7"/>
      <c r="L12" s="7" t="s">
        <v>8</v>
      </c>
      <c r="M12" s="7" t="s">
        <v>2</v>
      </c>
      <c r="N12" s="7">
        <f>COUNTIFS(C2:C17,L12,B2:B17,M12)</f>
        <v>2</v>
      </c>
    </row>
    <row r="13" spans="1:18" x14ac:dyDescent="0.25">
      <c r="A13" s="1">
        <v>12</v>
      </c>
      <c r="B13" s="1" t="s">
        <v>4</v>
      </c>
      <c r="C13" s="1" t="s">
        <v>15</v>
      </c>
      <c r="D13" s="1">
        <v>4050</v>
      </c>
      <c r="E13" s="1">
        <v>6</v>
      </c>
      <c r="F13" s="1">
        <v>24300</v>
      </c>
      <c r="H13" s="7" t="s">
        <v>7</v>
      </c>
      <c r="I13" s="7"/>
      <c r="J13" s="7"/>
    </row>
    <row r="14" spans="1:18" x14ac:dyDescent="0.25">
      <c r="A14" s="1">
        <v>13</v>
      </c>
      <c r="B14" s="1" t="s">
        <v>2</v>
      </c>
      <c r="C14" s="1" t="s">
        <v>12</v>
      </c>
      <c r="D14" s="1">
        <v>10</v>
      </c>
      <c r="E14" s="1">
        <v>55</v>
      </c>
      <c r="F14" s="1">
        <v>550</v>
      </c>
      <c r="H14" s="7" t="s">
        <v>8</v>
      </c>
      <c r="I14" s="7" t="s">
        <v>7</v>
      </c>
      <c r="J14" s="7"/>
    </row>
    <row r="15" spans="1:18" x14ac:dyDescent="0.25">
      <c r="A15" s="1">
        <v>14</v>
      </c>
      <c r="B15" s="1" t="s">
        <v>5</v>
      </c>
      <c r="C15" s="1" t="s">
        <v>11</v>
      </c>
      <c r="D15" s="1">
        <v>15</v>
      </c>
      <c r="E15" s="1">
        <v>35</v>
      </c>
      <c r="F15" s="1">
        <v>525</v>
      </c>
      <c r="H15" s="7" t="s">
        <v>2</v>
      </c>
      <c r="I15" s="7" t="s">
        <v>8</v>
      </c>
      <c r="J15" s="7">
        <f>SUMIFS(F2:F17,C2:C17,I15,B2:B17,H15)</f>
        <v>1000</v>
      </c>
    </row>
    <row r="16" spans="1:18" x14ac:dyDescent="0.25">
      <c r="A16" s="1">
        <v>15</v>
      </c>
      <c r="B16" s="1" t="s">
        <v>3</v>
      </c>
      <c r="C16" s="1" t="s">
        <v>8</v>
      </c>
      <c r="D16" s="1">
        <v>600</v>
      </c>
      <c r="E16" s="1">
        <v>10</v>
      </c>
      <c r="F16" s="1">
        <v>6000</v>
      </c>
    </row>
    <row r="17" spans="1:6" x14ac:dyDescent="0.25">
      <c r="A17" s="1">
        <v>16</v>
      </c>
      <c r="B17" s="1" t="s">
        <v>2</v>
      </c>
      <c r="C17" s="1" t="s">
        <v>12</v>
      </c>
      <c r="D17" s="1">
        <v>10</v>
      </c>
      <c r="E17" s="1">
        <v>50</v>
      </c>
      <c r="F17" s="1">
        <v>500</v>
      </c>
    </row>
  </sheetData>
  <mergeCells count="3">
    <mergeCell ref="H2:J2"/>
    <mergeCell ref="L2:N2"/>
    <mergeCell ref="P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shivambhatt00242@gmail.com</dc:creator>
  <cp:lastModifiedBy>shivambhatt00242@gmail.com</cp:lastModifiedBy>
  <dcterms:created xsi:type="dcterms:W3CDTF">2025-10-03T05:26:49Z</dcterms:created>
  <dcterms:modified xsi:type="dcterms:W3CDTF">2025-12-18T15:39:30Z</dcterms:modified>
</cp:coreProperties>
</file>