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CBItts\excel project\"/>
    </mc:Choice>
  </mc:AlternateContent>
  <xr:revisionPtr revIDLastSave="0" documentId="13_ncr:1_{D13CCB83-1986-4875-8461-ED47D7646B4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Questions" sheetId="2" r:id="rId1"/>
    <sheet name="Database 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2" i="1"/>
  <c r="J695" i="1" l="1"/>
  <c r="K695" i="1" s="1"/>
  <c r="J690" i="1"/>
  <c r="K690" i="1" s="1"/>
  <c r="J678" i="1"/>
  <c r="K678" i="1" s="1"/>
  <c r="J666" i="1"/>
  <c r="K666" i="1" s="1"/>
  <c r="J662" i="1"/>
  <c r="K662" i="1" s="1"/>
  <c r="J658" i="1"/>
  <c r="K658" i="1" s="1"/>
  <c r="J654" i="1"/>
  <c r="K654" i="1" s="1"/>
  <c r="J650" i="1"/>
  <c r="K650" i="1" s="1"/>
  <c r="J646" i="1"/>
  <c r="K646" i="1" s="1"/>
  <c r="J642" i="1"/>
  <c r="K642" i="1" s="1"/>
  <c r="J638" i="1"/>
  <c r="K638" i="1" s="1"/>
  <c r="J634" i="1"/>
  <c r="K634" i="1" s="1"/>
  <c r="J630" i="1"/>
  <c r="K630" i="1" s="1"/>
  <c r="J626" i="1"/>
  <c r="K626" i="1" s="1"/>
  <c r="J622" i="1"/>
  <c r="K622" i="1" s="1"/>
  <c r="J618" i="1"/>
  <c r="K618" i="1" s="1"/>
  <c r="J614" i="1"/>
  <c r="K614" i="1" s="1"/>
  <c r="J610" i="1"/>
  <c r="K610" i="1" s="1"/>
  <c r="J606" i="1"/>
  <c r="K606" i="1" s="1"/>
  <c r="J602" i="1"/>
  <c r="K602" i="1" s="1"/>
  <c r="J598" i="1"/>
  <c r="K598" i="1" s="1"/>
  <c r="J594" i="1"/>
  <c r="K594" i="1" s="1"/>
  <c r="J590" i="1"/>
  <c r="K590" i="1" s="1"/>
  <c r="J586" i="1"/>
  <c r="K586" i="1" s="1"/>
  <c r="J582" i="1"/>
  <c r="K582" i="1" s="1"/>
  <c r="J578" i="1"/>
  <c r="K578" i="1" s="1"/>
  <c r="J574" i="1"/>
  <c r="K574" i="1" s="1"/>
  <c r="J570" i="1"/>
  <c r="K570" i="1" s="1"/>
  <c r="J566" i="1"/>
  <c r="K566" i="1" s="1"/>
  <c r="J562" i="1"/>
  <c r="K562" i="1" s="1"/>
  <c r="J558" i="1"/>
  <c r="K558" i="1" s="1"/>
  <c r="J554" i="1"/>
  <c r="K554" i="1" s="1"/>
  <c r="J550" i="1"/>
  <c r="K550" i="1" s="1"/>
  <c r="J546" i="1"/>
  <c r="K546" i="1" s="1"/>
  <c r="J542" i="1"/>
  <c r="K542" i="1" s="1"/>
  <c r="J538" i="1"/>
  <c r="K538" i="1" s="1"/>
  <c r="J534" i="1"/>
  <c r="K534" i="1" s="1"/>
  <c r="J530" i="1"/>
  <c r="K530" i="1" s="1"/>
  <c r="J526" i="1"/>
  <c r="K526" i="1" s="1"/>
  <c r="J522" i="1"/>
  <c r="K522" i="1" s="1"/>
  <c r="J518" i="1"/>
  <c r="K518" i="1" s="1"/>
  <c r="J514" i="1"/>
  <c r="K514" i="1" s="1"/>
  <c r="J510" i="1"/>
  <c r="K510" i="1" s="1"/>
  <c r="J506" i="1"/>
  <c r="K506" i="1" s="1"/>
  <c r="J502" i="1"/>
  <c r="K502" i="1" s="1"/>
  <c r="J498" i="1"/>
  <c r="K498" i="1" s="1"/>
  <c r="J494" i="1"/>
  <c r="K494" i="1" s="1"/>
  <c r="J490" i="1"/>
  <c r="K490" i="1" s="1"/>
  <c r="J486" i="1"/>
  <c r="K486" i="1" s="1"/>
  <c r="J482" i="1"/>
  <c r="K482" i="1" s="1"/>
  <c r="J478" i="1"/>
  <c r="K478" i="1" s="1"/>
  <c r="J474" i="1"/>
  <c r="K474" i="1" s="1"/>
  <c r="J470" i="1"/>
  <c r="K470" i="1" s="1"/>
  <c r="J466" i="1"/>
  <c r="K466" i="1" s="1"/>
  <c r="J462" i="1"/>
  <c r="K462" i="1" s="1"/>
  <c r="J458" i="1"/>
  <c r="K458" i="1" s="1"/>
  <c r="J454" i="1"/>
  <c r="K454" i="1" s="1"/>
  <c r="J450" i="1"/>
  <c r="K450" i="1" s="1"/>
  <c r="J446" i="1"/>
  <c r="K446" i="1" s="1"/>
  <c r="J442" i="1"/>
  <c r="K442" i="1" s="1"/>
  <c r="J438" i="1"/>
  <c r="K438" i="1" s="1"/>
  <c r="J434" i="1"/>
  <c r="K434" i="1" s="1"/>
  <c r="J430" i="1"/>
  <c r="K430" i="1" s="1"/>
  <c r="J426" i="1"/>
  <c r="K426" i="1" s="1"/>
  <c r="J422" i="1"/>
  <c r="K422" i="1" s="1"/>
  <c r="J418" i="1"/>
  <c r="K418" i="1" s="1"/>
  <c r="J414" i="1"/>
  <c r="K414" i="1" s="1"/>
  <c r="J410" i="1"/>
  <c r="K410" i="1" s="1"/>
  <c r="J406" i="1"/>
  <c r="K406" i="1" s="1"/>
  <c r="J402" i="1"/>
  <c r="K402" i="1" s="1"/>
  <c r="J398" i="1"/>
  <c r="K398" i="1" s="1"/>
  <c r="J394" i="1"/>
  <c r="K394" i="1" s="1"/>
  <c r="J390" i="1"/>
  <c r="K390" i="1" s="1"/>
  <c r="J386" i="1"/>
  <c r="K386" i="1" s="1"/>
  <c r="J382" i="1"/>
  <c r="K382" i="1" s="1"/>
  <c r="J378" i="1"/>
  <c r="K378" i="1" s="1"/>
  <c r="J374" i="1"/>
  <c r="K374" i="1" s="1"/>
  <c r="J370" i="1"/>
  <c r="K370" i="1" s="1"/>
  <c r="J366" i="1"/>
  <c r="K366" i="1" s="1"/>
  <c r="J362" i="1"/>
  <c r="K362" i="1" s="1"/>
  <c r="J358" i="1"/>
  <c r="K358" i="1" s="1"/>
  <c r="J354" i="1"/>
  <c r="K354" i="1" s="1"/>
  <c r="J350" i="1"/>
  <c r="K350" i="1" s="1"/>
  <c r="J346" i="1"/>
  <c r="K346" i="1" s="1"/>
  <c r="J342" i="1"/>
  <c r="K342" i="1" s="1"/>
  <c r="J338" i="1"/>
  <c r="K338" i="1" s="1"/>
  <c r="J334" i="1"/>
  <c r="K334" i="1" s="1"/>
  <c r="J330" i="1"/>
  <c r="K330" i="1" s="1"/>
  <c r="J326" i="1"/>
  <c r="K326" i="1" s="1"/>
  <c r="J322" i="1"/>
  <c r="K322" i="1" s="1"/>
  <c r="J318" i="1"/>
  <c r="K318" i="1" s="1"/>
  <c r="J314" i="1"/>
  <c r="K314" i="1" s="1"/>
  <c r="J310" i="1"/>
  <c r="K310" i="1" s="1"/>
  <c r="J306" i="1"/>
  <c r="K306" i="1" s="1"/>
  <c r="J302" i="1"/>
  <c r="K302" i="1" s="1"/>
  <c r="J298" i="1"/>
  <c r="K298" i="1" s="1"/>
  <c r="J294" i="1"/>
  <c r="K294" i="1" s="1"/>
  <c r="J290" i="1"/>
  <c r="K290" i="1" s="1"/>
  <c r="J286" i="1"/>
  <c r="K286" i="1" s="1"/>
  <c r="J282" i="1"/>
  <c r="K282" i="1" s="1"/>
  <c r="J278" i="1"/>
  <c r="K278" i="1" s="1"/>
  <c r="J274" i="1"/>
  <c r="K274" i="1" s="1"/>
  <c r="J270" i="1"/>
  <c r="K270" i="1" s="1"/>
  <c r="J266" i="1"/>
  <c r="K266" i="1" s="1"/>
  <c r="J262" i="1"/>
  <c r="K262" i="1" s="1"/>
  <c r="J258" i="1"/>
  <c r="K258" i="1" s="1"/>
  <c r="J254" i="1"/>
  <c r="K254" i="1" s="1"/>
  <c r="J250" i="1"/>
  <c r="K250" i="1" s="1"/>
  <c r="J246" i="1"/>
  <c r="K246" i="1" s="1"/>
  <c r="J242" i="1"/>
  <c r="K242" i="1" s="1"/>
  <c r="J238" i="1"/>
  <c r="K238" i="1" s="1"/>
  <c r="J234" i="1"/>
  <c r="K234" i="1" s="1"/>
  <c r="J230" i="1"/>
  <c r="K230" i="1" s="1"/>
  <c r="J226" i="1"/>
  <c r="K226" i="1" s="1"/>
  <c r="J222" i="1"/>
  <c r="K222" i="1" s="1"/>
  <c r="J218" i="1"/>
  <c r="K218" i="1" s="1"/>
  <c r="J214" i="1"/>
  <c r="K214" i="1" s="1"/>
  <c r="J210" i="1"/>
  <c r="K210" i="1" s="1"/>
  <c r="J206" i="1"/>
  <c r="K206" i="1" s="1"/>
  <c r="J202" i="1"/>
  <c r="K202" i="1" s="1"/>
  <c r="J198" i="1"/>
  <c r="K198" i="1" s="1"/>
  <c r="J194" i="1"/>
  <c r="K194" i="1" s="1"/>
  <c r="J190" i="1"/>
  <c r="K190" i="1" s="1"/>
  <c r="J186" i="1"/>
  <c r="K186" i="1" s="1"/>
  <c r="J182" i="1"/>
  <c r="K182" i="1" s="1"/>
  <c r="J178" i="1"/>
  <c r="K178" i="1" s="1"/>
  <c r="J174" i="1"/>
  <c r="K174" i="1" s="1"/>
  <c r="J170" i="1"/>
  <c r="K170" i="1" s="1"/>
  <c r="J166" i="1"/>
  <c r="K166" i="1" s="1"/>
  <c r="J162" i="1"/>
  <c r="K162" i="1" s="1"/>
  <c r="J158" i="1"/>
  <c r="K158" i="1" s="1"/>
  <c r="J154" i="1"/>
  <c r="K154" i="1" s="1"/>
  <c r="J150" i="1"/>
  <c r="K150" i="1" s="1"/>
  <c r="J146" i="1"/>
  <c r="K146" i="1" s="1"/>
  <c r="J142" i="1"/>
  <c r="K142" i="1" s="1"/>
  <c r="J138" i="1"/>
  <c r="K138" i="1" s="1"/>
  <c r="J134" i="1"/>
  <c r="K134" i="1" s="1"/>
  <c r="J130" i="1"/>
  <c r="K130" i="1" s="1"/>
  <c r="J126" i="1"/>
  <c r="K126" i="1" s="1"/>
  <c r="J122" i="1"/>
  <c r="K122" i="1" s="1"/>
  <c r="J118" i="1"/>
  <c r="K118" i="1" s="1"/>
  <c r="J114" i="1"/>
  <c r="K114" i="1" s="1"/>
  <c r="J110" i="1"/>
  <c r="K110" i="1" s="1"/>
  <c r="J106" i="1"/>
  <c r="K106" i="1" s="1"/>
  <c r="J102" i="1"/>
  <c r="K102" i="1" s="1"/>
  <c r="J98" i="1"/>
  <c r="K98" i="1" s="1"/>
  <c r="J94" i="1"/>
  <c r="K94" i="1" s="1"/>
  <c r="K90" i="1"/>
  <c r="J90" i="1"/>
  <c r="J86" i="1"/>
  <c r="K86" i="1" s="1"/>
  <c r="J82" i="1"/>
  <c r="K82" i="1" s="1"/>
  <c r="J78" i="1"/>
  <c r="K78" i="1" s="1"/>
  <c r="J74" i="1"/>
  <c r="K74" i="1" s="1"/>
  <c r="J70" i="1"/>
  <c r="K70" i="1" s="1"/>
  <c r="J66" i="1"/>
  <c r="K66" i="1" s="1"/>
  <c r="J62" i="1"/>
  <c r="K62" i="1" s="1"/>
  <c r="K58" i="1"/>
  <c r="J58" i="1"/>
  <c r="J54" i="1"/>
  <c r="K54" i="1" s="1"/>
  <c r="J50" i="1"/>
  <c r="K50" i="1" s="1"/>
  <c r="J46" i="1"/>
  <c r="K46" i="1" s="1"/>
  <c r="J42" i="1"/>
  <c r="K42" i="1" s="1"/>
  <c r="J38" i="1"/>
  <c r="K38" i="1" s="1"/>
  <c r="J34" i="1"/>
  <c r="K34" i="1" s="1"/>
  <c r="J30" i="1"/>
  <c r="K30" i="1" s="1"/>
  <c r="K26" i="1"/>
  <c r="J26" i="1"/>
  <c r="J22" i="1"/>
  <c r="K22" i="1" s="1"/>
  <c r="J18" i="1"/>
  <c r="K18" i="1" s="1"/>
  <c r="J14" i="1"/>
  <c r="K14" i="1" s="1"/>
  <c r="J10" i="1"/>
  <c r="K10" i="1" s="1"/>
  <c r="J6" i="1"/>
  <c r="K6" i="1" s="1"/>
  <c r="J687" i="1"/>
  <c r="K687" i="1" s="1"/>
  <c r="J698" i="1"/>
  <c r="K698" i="1" s="1"/>
  <c r="K686" i="1"/>
  <c r="J686" i="1"/>
  <c r="J670" i="1"/>
  <c r="K670" i="1" s="1"/>
  <c r="J697" i="1"/>
  <c r="K697" i="1" s="1"/>
  <c r="J693" i="1"/>
  <c r="K693" i="1" s="1"/>
  <c r="J689" i="1"/>
  <c r="K689" i="1" s="1"/>
  <c r="J685" i="1"/>
  <c r="K685" i="1" s="1"/>
  <c r="J681" i="1"/>
  <c r="K681" i="1" s="1"/>
  <c r="J677" i="1"/>
  <c r="K677" i="1" s="1"/>
  <c r="K673" i="1"/>
  <c r="J673" i="1"/>
  <c r="J669" i="1"/>
  <c r="K669" i="1" s="1"/>
  <c r="J665" i="1"/>
  <c r="K665" i="1" s="1"/>
  <c r="J661" i="1"/>
  <c r="K661" i="1" s="1"/>
  <c r="J657" i="1"/>
  <c r="K657" i="1" s="1"/>
  <c r="J653" i="1"/>
  <c r="K653" i="1" s="1"/>
  <c r="J649" i="1"/>
  <c r="K649" i="1" s="1"/>
  <c r="J645" i="1"/>
  <c r="K645" i="1" s="1"/>
  <c r="K641" i="1"/>
  <c r="J641" i="1"/>
  <c r="J637" i="1"/>
  <c r="K637" i="1" s="1"/>
  <c r="J633" i="1"/>
  <c r="K633" i="1" s="1"/>
  <c r="J629" i="1"/>
  <c r="K629" i="1" s="1"/>
  <c r="J625" i="1"/>
  <c r="K625" i="1" s="1"/>
  <c r="J621" i="1"/>
  <c r="K621" i="1" s="1"/>
  <c r="J617" i="1"/>
  <c r="K617" i="1" s="1"/>
  <c r="J613" i="1"/>
  <c r="K613" i="1" s="1"/>
  <c r="K609" i="1"/>
  <c r="J609" i="1"/>
  <c r="J605" i="1"/>
  <c r="K605" i="1" s="1"/>
  <c r="J601" i="1"/>
  <c r="K601" i="1" s="1"/>
  <c r="J597" i="1"/>
  <c r="K597" i="1" s="1"/>
  <c r="J593" i="1"/>
  <c r="K593" i="1" s="1"/>
  <c r="J589" i="1"/>
  <c r="K589" i="1" s="1"/>
  <c r="J585" i="1"/>
  <c r="K585" i="1" s="1"/>
  <c r="J581" i="1"/>
  <c r="K581" i="1" s="1"/>
  <c r="K577" i="1"/>
  <c r="J577" i="1"/>
  <c r="J573" i="1"/>
  <c r="K573" i="1" s="1"/>
  <c r="J569" i="1"/>
  <c r="K569" i="1" s="1"/>
  <c r="J565" i="1"/>
  <c r="K565" i="1" s="1"/>
  <c r="J561" i="1"/>
  <c r="K561" i="1" s="1"/>
  <c r="J557" i="1"/>
  <c r="K557" i="1" s="1"/>
  <c r="J553" i="1"/>
  <c r="K553" i="1" s="1"/>
  <c r="J549" i="1"/>
  <c r="K549" i="1" s="1"/>
  <c r="K545" i="1"/>
  <c r="J545" i="1"/>
  <c r="J541" i="1"/>
  <c r="K541" i="1" s="1"/>
  <c r="J537" i="1"/>
  <c r="K537" i="1" s="1"/>
  <c r="J533" i="1"/>
  <c r="K533" i="1" s="1"/>
  <c r="J529" i="1"/>
  <c r="K529" i="1" s="1"/>
  <c r="J525" i="1"/>
  <c r="K525" i="1" s="1"/>
  <c r="J521" i="1"/>
  <c r="K521" i="1" s="1"/>
  <c r="J517" i="1"/>
  <c r="K517" i="1" s="1"/>
  <c r="K513" i="1"/>
  <c r="J513" i="1"/>
  <c r="J509" i="1"/>
  <c r="K509" i="1" s="1"/>
  <c r="J505" i="1"/>
  <c r="K505" i="1" s="1"/>
  <c r="J501" i="1"/>
  <c r="K501" i="1" s="1"/>
  <c r="J497" i="1"/>
  <c r="K497" i="1" s="1"/>
  <c r="J493" i="1"/>
  <c r="K493" i="1" s="1"/>
  <c r="J489" i="1"/>
  <c r="K489" i="1" s="1"/>
  <c r="J485" i="1"/>
  <c r="K485" i="1" s="1"/>
  <c r="K481" i="1"/>
  <c r="J481" i="1"/>
  <c r="J477" i="1"/>
  <c r="K477" i="1" s="1"/>
  <c r="J473" i="1"/>
  <c r="K473" i="1" s="1"/>
  <c r="J469" i="1"/>
  <c r="K469" i="1" s="1"/>
  <c r="J465" i="1"/>
  <c r="K465" i="1" s="1"/>
  <c r="J461" i="1"/>
  <c r="K461" i="1" s="1"/>
  <c r="J457" i="1"/>
  <c r="K457" i="1" s="1"/>
  <c r="J453" i="1"/>
  <c r="K453" i="1" s="1"/>
  <c r="K449" i="1"/>
  <c r="J449" i="1"/>
  <c r="J445" i="1"/>
  <c r="K445" i="1" s="1"/>
  <c r="J441" i="1"/>
  <c r="K441" i="1" s="1"/>
  <c r="J437" i="1"/>
  <c r="K437" i="1" s="1"/>
  <c r="J433" i="1"/>
  <c r="K433" i="1" s="1"/>
  <c r="J429" i="1"/>
  <c r="K429" i="1" s="1"/>
  <c r="J425" i="1"/>
  <c r="K425" i="1" s="1"/>
  <c r="J421" i="1"/>
  <c r="K421" i="1" s="1"/>
  <c r="K417" i="1"/>
  <c r="J417" i="1"/>
  <c r="J413" i="1"/>
  <c r="K413" i="1" s="1"/>
  <c r="J409" i="1"/>
  <c r="K409" i="1" s="1"/>
  <c r="J405" i="1"/>
  <c r="K405" i="1" s="1"/>
  <c r="J401" i="1"/>
  <c r="K401" i="1" s="1"/>
  <c r="J397" i="1"/>
  <c r="K397" i="1" s="1"/>
  <c r="J393" i="1"/>
  <c r="K393" i="1" s="1"/>
  <c r="J389" i="1"/>
  <c r="K389" i="1" s="1"/>
  <c r="K385" i="1"/>
  <c r="J385" i="1"/>
  <c r="J381" i="1"/>
  <c r="K381" i="1" s="1"/>
  <c r="J377" i="1"/>
  <c r="K377" i="1" s="1"/>
  <c r="J373" i="1"/>
  <c r="K373" i="1" s="1"/>
  <c r="J369" i="1"/>
  <c r="K369" i="1" s="1"/>
  <c r="J365" i="1"/>
  <c r="K365" i="1" s="1"/>
  <c r="J361" i="1"/>
  <c r="K361" i="1" s="1"/>
  <c r="J357" i="1"/>
  <c r="K357" i="1" s="1"/>
  <c r="K353" i="1"/>
  <c r="J353" i="1"/>
  <c r="J349" i="1"/>
  <c r="K349" i="1" s="1"/>
  <c r="J345" i="1"/>
  <c r="K345" i="1" s="1"/>
  <c r="J341" i="1"/>
  <c r="K341" i="1" s="1"/>
  <c r="J337" i="1"/>
  <c r="K337" i="1" s="1"/>
  <c r="J333" i="1"/>
  <c r="K333" i="1" s="1"/>
  <c r="J329" i="1"/>
  <c r="K329" i="1" s="1"/>
  <c r="J325" i="1"/>
  <c r="K325" i="1" s="1"/>
  <c r="K321" i="1"/>
  <c r="J321" i="1"/>
  <c r="J317" i="1"/>
  <c r="K317" i="1" s="1"/>
  <c r="J313" i="1"/>
  <c r="K313" i="1" s="1"/>
  <c r="J309" i="1"/>
  <c r="K309" i="1" s="1"/>
  <c r="J305" i="1"/>
  <c r="K305" i="1" s="1"/>
  <c r="J301" i="1"/>
  <c r="K301" i="1" s="1"/>
  <c r="J297" i="1"/>
  <c r="K297" i="1" s="1"/>
  <c r="J293" i="1"/>
  <c r="K293" i="1" s="1"/>
  <c r="K289" i="1"/>
  <c r="J289" i="1"/>
  <c r="J285" i="1"/>
  <c r="K285" i="1" s="1"/>
  <c r="J281" i="1"/>
  <c r="K281" i="1" s="1"/>
  <c r="J277" i="1"/>
  <c r="K277" i="1" s="1"/>
  <c r="J273" i="1"/>
  <c r="K273" i="1" s="1"/>
  <c r="J269" i="1"/>
  <c r="K269" i="1" s="1"/>
  <c r="J265" i="1"/>
  <c r="K265" i="1" s="1"/>
  <c r="J261" i="1"/>
  <c r="K261" i="1" s="1"/>
  <c r="K257" i="1"/>
  <c r="J257" i="1"/>
  <c r="J253" i="1"/>
  <c r="K253" i="1" s="1"/>
  <c r="J249" i="1"/>
  <c r="K249" i="1" s="1"/>
  <c r="J245" i="1"/>
  <c r="K245" i="1" s="1"/>
  <c r="J241" i="1"/>
  <c r="K241" i="1" s="1"/>
  <c r="J237" i="1"/>
  <c r="K237" i="1" s="1"/>
  <c r="J233" i="1"/>
  <c r="K233" i="1" s="1"/>
  <c r="J229" i="1"/>
  <c r="K229" i="1" s="1"/>
  <c r="K225" i="1"/>
  <c r="J225" i="1"/>
  <c r="J221" i="1"/>
  <c r="K221" i="1" s="1"/>
  <c r="J217" i="1"/>
  <c r="K217" i="1" s="1"/>
  <c r="J213" i="1"/>
  <c r="K213" i="1" s="1"/>
  <c r="J209" i="1"/>
  <c r="K209" i="1" s="1"/>
  <c r="J205" i="1"/>
  <c r="K205" i="1" s="1"/>
  <c r="J201" i="1"/>
  <c r="K201" i="1" s="1"/>
  <c r="J197" i="1"/>
  <c r="K197" i="1" s="1"/>
  <c r="K193" i="1"/>
  <c r="J193" i="1"/>
  <c r="J189" i="1"/>
  <c r="K189" i="1" s="1"/>
  <c r="J185" i="1"/>
  <c r="K185" i="1" s="1"/>
  <c r="J181" i="1"/>
  <c r="K181" i="1" s="1"/>
  <c r="J177" i="1"/>
  <c r="K177" i="1" s="1"/>
  <c r="J173" i="1"/>
  <c r="K173" i="1" s="1"/>
  <c r="J169" i="1"/>
  <c r="K169" i="1" s="1"/>
  <c r="J165" i="1"/>
  <c r="K165" i="1" s="1"/>
  <c r="K161" i="1"/>
  <c r="J161" i="1"/>
  <c r="J157" i="1"/>
  <c r="K157" i="1" s="1"/>
  <c r="J153" i="1"/>
  <c r="K153" i="1" s="1"/>
  <c r="J149" i="1"/>
  <c r="K149" i="1" s="1"/>
  <c r="J145" i="1"/>
  <c r="K145" i="1" s="1"/>
  <c r="J141" i="1"/>
  <c r="K141" i="1" s="1"/>
  <c r="J137" i="1"/>
  <c r="K137" i="1" s="1"/>
  <c r="J133" i="1"/>
  <c r="K133" i="1" s="1"/>
  <c r="K129" i="1"/>
  <c r="J129" i="1"/>
  <c r="J125" i="1"/>
  <c r="K125" i="1" s="1"/>
  <c r="J121" i="1"/>
  <c r="K121" i="1" s="1"/>
  <c r="J117" i="1"/>
  <c r="K117" i="1" s="1"/>
  <c r="J113" i="1"/>
  <c r="K113" i="1" s="1"/>
  <c r="J109" i="1"/>
  <c r="K109" i="1" s="1"/>
  <c r="J105" i="1"/>
  <c r="K105" i="1" s="1"/>
  <c r="J101" i="1"/>
  <c r="K101" i="1" s="1"/>
  <c r="K97" i="1"/>
  <c r="J97" i="1"/>
  <c r="J93" i="1"/>
  <c r="K93" i="1" s="1"/>
  <c r="J89" i="1"/>
  <c r="K89" i="1" s="1"/>
  <c r="J85" i="1"/>
  <c r="K85" i="1" s="1"/>
  <c r="J81" i="1"/>
  <c r="K81" i="1" s="1"/>
  <c r="J77" i="1"/>
  <c r="K77" i="1" s="1"/>
  <c r="J73" i="1"/>
  <c r="K73" i="1" s="1"/>
  <c r="J69" i="1"/>
  <c r="K69" i="1" s="1"/>
  <c r="K65" i="1"/>
  <c r="J65" i="1"/>
  <c r="J61" i="1"/>
  <c r="K61" i="1" s="1"/>
  <c r="J57" i="1"/>
  <c r="K57" i="1" s="1"/>
  <c r="J53" i="1"/>
  <c r="K53" i="1" s="1"/>
  <c r="J49" i="1"/>
  <c r="K49" i="1" s="1"/>
  <c r="J45" i="1"/>
  <c r="K45" i="1" s="1"/>
  <c r="J41" i="1"/>
  <c r="K41" i="1" s="1"/>
  <c r="J37" i="1"/>
  <c r="K37" i="1" s="1"/>
  <c r="K33" i="1"/>
  <c r="J33" i="1"/>
  <c r="J29" i="1"/>
  <c r="K29" i="1" s="1"/>
  <c r="K25" i="1"/>
  <c r="J25" i="1"/>
  <c r="J21" i="1"/>
  <c r="K21" i="1" s="1"/>
  <c r="K17" i="1"/>
  <c r="J17" i="1"/>
  <c r="J13" i="1"/>
  <c r="K13" i="1" s="1"/>
  <c r="K9" i="1"/>
  <c r="J9" i="1"/>
  <c r="J5" i="1"/>
  <c r="K5" i="1" s="1"/>
  <c r="K2" i="1"/>
  <c r="J2" i="1"/>
  <c r="J694" i="1"/>
  <c r="K694" i="1" s="1"/>
  <c r="K682" i="1"/>
  <c r="J682" i="1"/>
  <c r="J674" i="1"/>
  <c r="K674" i="1" s="1"/>
  <c r="K701" i="1"/>
  <c r="J701" i="1"/>
  <c r="J700" i="1"/>
  <c r="K700" i="1" s="1"/>
  <c r="K696" i="1"/>
  <c r="J696" i="1"/>
  <c r="J692" i="1"/>
  <c r="K692" i="1" s="1"/>
  <c r="K688" i="1"/>
  <c r="J688" i="1"/>
  <c r="J684" i="1"/>
  <c r="K684" i="1" s="1"/>
  <c r="K680" i="1"/>
  <c r="J680" i="1"/>
  <c r="J676" i="1"/>
  <c r="K676" i="1" s="1"/>
  <c r="K672" i="1"/>
  <c r="J672" i="1"/>
  <c r="J668" i="1"/>
  <c r="K668" i="1" s="1"/>
  <c r="K664" i="1"/>
  <c r="J664" i="1"/>
  <c r="J660" i="1"/>
  <c r="K660" i="1" s="1"/>
  <c r="K656" i="1"/>
  <c r="J656" i="1"/>
  <c r="J652" i="1"/>
  <c r="K652" i="1" s="1"/>
  <c r="K648" i="1"/>
  <c r="J648" i="1"/>
  <c r="J644" i="1"/>
  <c r="K644" i="1" s="1"/>
  <c r="K640" i="1"/>
  <c r="J640" i="1"/>
  <c r="J636" i="1"/>
  <c r="K636" i="1" s="1"/>
  <c r="K632" i="1"/>
  <c r="J632" i="1"/>
  <c r="J628" i="1"/>
  <c r="K628" i="1" s="1"/>
  <c r="K624" i="1"/>
  <c r="J624" i="1"/>
  <c r="J620" i="1"/>
  <c r="K620" i="1" s="1"/>
  <c r="K616" i="1"/>
  <c r="J616" i="1"/>
  <c r="J612" i="1"/>
  <c r="K612" i="1" s="1"/>
  <c r="K608" i="1"/>
  <c r="J608" i="1"/>
  <c r="J604" i="1"/>
  <c r="K604" i="1" s="1"/>
  <c r="K600" i="1"/>
  <c r="J600" i="1"/>
  <c r="J596" i="1"/>
  <c r="K596" i="1" s="1"/>
  <c r="K592" i="1"/>
  <c r="J592" i="1"/>
  <c r="J588" i="1"/>
  <c r="K588" i="1" s="1"/>
  <c r="K584" i="1"/>
  <c r="J584" i="1"/>
  <c r="J580" i="1"/>
  <c r="K580" i="1" s="1"/>
  <c r="K576" i="1"/>
  <c r="J576" i="1"/>
  <c r="J572" i="1"/>
  <c r="K572" i="1" s="1"/>
  <c r="K568" i="1"/>
  <c r="J568" i="1"/>
  <c r="J564" i="1"/>
  <c r="K564" i="1" s="1"/>
  <c r="K560" i="1"/>
  <c r="J560" i="1"/>
  <c r="J556" i="1"/>
  <c r="K556" i="1" s="1"/>
  <c r="K552" i="1"/>
  <c r="J552" i="1"/>
  <c r="J548" i="1"/>
  <c r="K548" i="1" s="1"/>
  <c r="K544" i="1"/>
  <c r="J544" i="1"/>
  <c r="J540" i="1"/>
  <c r="K540" i="1" s="1"/>
  <c r="K536" i="1"/>
  <c r="J536" i="1"/>
  <c r="J532" i="1"/>
  <c r="K532" i="1" s="1"/>
  <c r="K528" i="1"/>
  <c r="J528" i="1"/>
  <c r="J524" i="1"/>
  <c r="K524" i="1" s="1"/>
  <c r="K520" i="1"/>
  <c r="J520" i="1"/>
  <c r="J516" i="1"/>
  <c r="K516" i="1" s="1"/>
  <c r="K512" i="1"/>
  <c r="J512" i="1"/>
  <c r="J508" i="1"/>
  <c r="K508" i="1" s="1"/>
  <c r="K504" i="1"/>
  <c r="J504" i="1"/>
  <c r="J500" i="1"/>
  <c r="K500" i="1" s="1"/>
  <c r="K496" i="1"/>
  <c r="J496" i="1"/>
  <c r="J492" i="1"/>
  <c r="K492" i="1" s="1"/>
  <c r="K488" i="1"/>
  <c r="J488" i="1"/>
  <c r="J484" i="1"/>
  <c r="K484" i="1" s="1"/>
  <c r="K480" i="1"/>
  <c r="J480" i="1"/>
  <c r="J476" i="1"/>
  <c r="K476" i="1" s="1"/>
  <c r="K472" i="1"/>
  <c r="J472" i="1"/>
  <c r="J468" i="1"/>
  <c r="K468" i="1" s="1"/>
  <c r="K464" i="1"/>
  <c r="J464" i="1"/>
  <c r="J460" i="1"/>
  <c r="K460" i="1" s="1"/>
  <c r="K456" i="1"/>
  <c r="J456" i="1"/>
  <c r="J452" i="1"/>
  <c r="K452" i="1" s="1"/>
  <c r="K448" i="1"/>
  <c r="J448" i="1"/>
  <c r="J444" i="1"/>
  <c r="K444" i="1" s="1"/>
  <c r="K440" i="1"/>
  <c r="J440" i="1"/>
  <c r="J436" i="1"/>
  <c r="K436" i="1" s="1"/>
  <c r="K432" i="1"/>
  <c r="J432" i="1"/>
  <c r="J428" i="1"/>
  <c r="K428" i="1" s="1"/>
  <c r="K424" i="1"/>
  <c r="J424" i="1"/>
  <c r="J420" i="1"/>
  <c r="K420" i="1" s="1"/>
  <c r="J416" i="1"/>
  <c r="K416" i="1" s="1"/>
  <c r="J412" i="1"/>
  <c r="K412" i="1" s="1"/>
  <c r="J408" i="1"/>
  <c r="K408" i="1" s="1"/>
  <c r="J404" i="1"/>
  <c r="K404" i="1" s="1"/>
  <c r="K400" i="1"/>
  <c r="J400" i="1"/>
  <c r="J396" i="1"/>
  <c r="K396" i="1" s="1"/>
  <c r="K392" i="1"/>
  <c r="J392" i="1"/>
  <c r="J388" i="1"/>
  <c r="K388" i="1" s="1"/>
  <c r="J384" i="1"/>
  <c r="K384" i="1" s="1"/>
  <c r="J380" i="1"/>
  <c r="K380" i="1" s="1"/>
  <c r="J376" i="1"/>
  <c r="K376" i="1" s="1"/>
  <c r="J372" i="1"/>
  <c r="K372" i="1" s="1"/>
  <c r="K368" i="1"/>
  <c r="J368" i="1"/>
  <c r="J364" i="1"/>
  <c r="K364" i="1" s="1"/>
  <c r="K360" i="1"/>
  <c r="J360" i="1"/>
  <c r="J356" i="1"/>
  <c r="K356" i="1" s="1"/>
  <c r="J352" i="1"/>
  <c r="K352" i="1" s="1"/>
  <c r="J348" i="1"/>
  <c r="K348" i="1" s="1"/>
  <c r="J344" i="1"/>
  <c r="K344" i="1" s="1"/>
  <c r="J340" i="1"/>
  <c r="K340" i="1" s="1"/>
  <c r="K336" i="1"/>
  <c r="J336" i="1"/>
  <c r="J332" i="1"/>
  <c r="K332" i="1" s="1"/>
  <c r="K328" i="1"/>
  <c r="J328" i="1"/>
  <c r="J324" i="1"/>
  <c r="K324" i="1" s="1"/>
  <c r="J320" i="1"/>
  <c r="K320" i="1" s="1"/>
  <c r="J316" i="1"/>
  <c r="K316" i="1" s="1"/>
  <c r="J312" i="1"/>
  <c r="K312" i="1" s="1"/>
  <c r="J308" i="1"/>
  <c r="K308" i="1" s="1"/>
  <c r="K304" i="1"/>
  <c r="J304" i="1"/>
  <c r="J300" i="1"/>
  <c r="K300" i="1" s="1"/>
  <c r="K296" i="1"/>
  <c r="J296" i="1"/>
  <c r="J292" i="1"/>
  <c r="K292" i="1" s="1"/>
  <c r="J288" i="1"/>
  <c r="K288" i="1" s="1"/>
  <c r="J284" i="1"/>
  <c r="K284" i="1" s="1"/>
  <c r="J280" i="1"/>
  <c r="K280" i="1" s="1"/>
  <c r="J276" i="1"/>
  <c r="K276" i="1" s="1"/>
  <c r="K272" i="1"/>
  <c r="J272" i="1"/>
  <c r="J268" i="1"/>
  <c r="K268" i="1" s="1"/>
  <c r="K264" i="1"/>
  <c r="J264" i="1"/>
  <c r="J260" i="1"/>
  <c r="K260" i="1" s="1"/>
  <c r="J256" i="1"/>
  <c r="K256" i="1" s="1"/>
  <c r="J252" i="1"/>
  <c r="K252" i="1" s="1"/>
  <c r="J248" i="1"/>
  <c r="K248" i="1" s="1"/>
  <c r="J244" i="1"/>
  <c r="K244" i="1" s="1"/>
  <c r="K240" i="1"/>
  <c r="J240" i="1"/>
  <c r="J236" i="1"/>
  <c r="K236" i="1" s="1"/>
  <c r="K232" i="1"/>
  <c r="J232" i="1"/>
  <c r="J228" i="1"/>
  <c r="K228" i="1" s="1"/>
  <c r="J224" i="1"/>
  <c r="K224" i="1" s="1"/>
  <c r="J220" i="1"/>
  <c r="K220" i="1" s="1"/>
  <c r="J216" i="1"/>
  <c r="K216" i="1" s="1"/>
  <c r="J212" i="1"/>
  <c r="K212" i="1" s="1"/>
  <c r="K208" i="1"/>
  <c r="J208" i="1"/>
  <c r="J204" i="1"/>
  <c r="K204" i="1" s="1"/>
  <c r="K200" i="1"/>
  <c r="J200" i="1"/>
  <c r="J196" i="1"/>
  <c r="K196" i="1" s="1"/>
  <c r="J192" i="1"/>
  <c r="K192" i="1" s="1"/>
  <c r="J188" i="1"/>
  <c r="K188" i="1" s="1"/>
  <c r="J184" i="1"/>
  <c r="K184" i="1" s="1"/>
  <c r="J180" i="1"/>
  <c r="K180" i="1" s="1"/>
  <c r="K176" i="1"/>
  <c r="J176" i="1"/>
  <c r="J172" i="1"/>
  <c r="K172" i="1" s="1"/>
  <c r="K168" i="1"/>
  <c r="J168" i="1"/>
  <c r="J164" i="1"/>
  <c r="K164" i="1" s="1"/>
  <c r="J160" i="1"/>
  <c r="K160" i="1" s="1"/>
  <c r="J156" i="1"/>
  <c r="K156" i="1" s="1"/>
  <c r="J152" i="1"/>
  <c r="K152" i="1" s="1"/>
  <c r="J148" i="1"/>
  <c r="K148" i="1" s="1"/>
  <c r="K144" i="1"/>
  <c r="J144" i="1"/>
  <c r="J140" i="1"/>
  <c r="K140" i="1" s="1"/>
  <c r="K136" i="1"/>
  <c r="J136" i="1"/>
  <c r="J132" i="1"/>
  <c r="K132" i="1" s="1"/>
  <c r="J128" i="1"/>
  <c r="K128" i="1" s="1"/>
  <c r="J124" i="1"/>
  <c r="K124" i="1" s="1"/>
  <c r="J120" i="1"/>
  <c r="K120" i="1" s="1"/>
  <c r="J116" i="1"/>
  <c r="K116" i="1" s="1"/>
  <c r="K112" i="1"/>
  <c r="J112" i="1"/>
  <c r="J108" i="1"/>
  <c r="K108" i="1" s="1"/>
  <c r="K104" i="1"/>
  <c r="J104" i="1"/>
  <c r="J100" i="1"/>
  <c r="K100" i="1" s="1"/>
  <c r="J96" i="1"/>
  <c r="K96" i="1" s="1"/>
  <c r="J92" i="1"/>
  <c r="K92" i="1" s="1"/>
  <c r="J88" i="1"/>
  <c r="K88" i="1" s="1"/>
  <c r="J84" i="1"/>
  <c r="K84" i="1" s="1"/>
  <c r="K80" i="1"/>
  <c r="J80" i="1"/>
  <c r="J76" i="1"/>
  <c r="K76" i="1" s="1"/>
  <c r="K72" i="1"/>
  <c r="J72" i="1"/>
  <c r="J68" i="1"/>
  <c r="K68" i="1" s="1"/>
  <c r="J64" i="1"/>
  <c r="K64" i="1" s="1"/>
  <c r="J60" i="1"/>
  <c r="K60" i="1" s="1"/>
  <c r="J56" i="1"/>
  <c r="K56" i="1" s="1"/>
  <c r="J52" i="1"/>
  <c r="K52" i="1" s="1"/>
  <c r="K48" i="1"/>
  <c r="J48" i="1"/>
  <c r="J44" i="1"/>
  <c r="K44" i="1" s="1"/>
  <c r="K40" i="1"/>
  <c r="J40" i="1"/>
  <c r="J36" i="1"/>
  <c r="K36" i="1" s="1"/>
  <c r="J32" i="1"/>
  <c r="K32" i="1" s="1"/>
  <c r="J28" i="1"/>
  <c r="K28" i="1" s="1"/>
  <c r="J24" i="1"/>
  <c r="K24" i="1" s="1"/>
  <c r="J20" i="1"/>
  <c r="K20" i="1" s="1"/>
  <c r="K16" i="1"/>
  <c r="J16" i="1"/>
  <c r="J12" i="1"/>
  <c r="K12" i="1" s="1"/>
  <c r="K8" i="1"/>
  <c r="J8" i="1"/>
  <c r="J4" i="1"/>
  <c r="K4" i="1" s="1"/>
  <c r="J699" i="1"/>
  <c r="K699" i="1" s="1"/>
  <c r="J691" i="1"/>
  <c r="K691" i="1" s="1"/>
  <c r="J683" i="1"/>
  <c r="K683" i="1" s="1"/>
  <c r="J679" i="1"/>
  <c r="K679" i="1" s="1"/>
  <c r="K675" i="1"/>
  <c r="J675" i="1"/>
  <c r="J671" i="1"/>
  <c r="K671" i="1" s="1"/>
  <c r="K667" i="1"/>
  <c r="J667" i="1"/>
  <c r="J663" i="1"/>
  <c r="K663" i="1" s="1"/>
  <c r="J659" i="1"/>
  <c r="K659" i="1" s="1"/>
  <c r="J655" i="1"/>
  <c r="K655" i="1" s="1"/>
  <c r="J651" i="1"/>
  <c r="K651" i="1" s="1"/>
  <c r="J647" i="1"/>
  <c r="K647" i="1" s="1"/>
  <c r="K643" i="1"/>
  <c r="J643" i="1"/>
  <c r="J639" i="1"/>
  <c r="K639" i="1" s="1"/>
  <c r="K635" i="1"/>
  <c r="J635" i="1"/>
  <c r="J631" i="1"/>
  <c r="K631" i="1" s="1"/>
  <c r="J627" i="1"/>
  <c r="K627" i="1" s="1"/>
  <c r="J623" i="1"/>
  <c r="K623" i="1" s="1"/>
  <c r="J619" i="1"/>
  <c r="K619" i="1" s="1"/>
  <c r="J615" i="1"/>
  <c r="K615" i="1" s="1"/>
  <c r="K611" i="1"/>
  <c r="J611" i="1"/>
  <c r="J607" i="1"/>
  <c r="K607" i="1" s="1"/>
  <c r="K603" i="1"/>
  <c r="J603" i="1"/>
  <c r="J599" i="1"/>
  <c r="K599" i="1" s="1"/>
  <c r="J595" i="1"/>
  <c r="K595" i="1" s="1"/>
  <c r="J591" i="1"/>
  <c r="K591" i="1" s="1"/>
  <c r="J587" i="1"/>
  <c r="K587" i="1" s="1"/>
  <c r="J583" i="1"/>
  <c r="K583" i="1" s="1"/>
  <c r="K579" i="1"/>
  <c r="J579" i="1"/>
  <c r="J575" i="1"/>
  <c r="K575" i="1" s="1"/>
  <c r="K571" i="1"/>
  <c r="J571" i="1"/>
  <c r="J567" i="1"/>
  <c r="K567" i="1" s="1"/>
  <c r="J563" i="1"/>
  <c r="K563" i="1" s="1"/>
  <c r="J559" i="1"/>
  <c r="K559" i="1" s="1"/>
  <c r="J555" i="1"/>
  <c r="K555" i="1" s="1"/>
  <c r="J551" i="1"/>
  <c r="K551" i="1" s="1"/>
  <c r="K547" i="1"/>
  <c r="J547" i="1"/>
  <c r="J543" i="1"/>
  <c r="K543" i="1" s="1"/>
  <c r="K539" i="1"/>
  <c r="J539" i="1"/>
  <c r="J535" i="1"/>
  <c r="K535" i="1" s="1"/>
  <c r="J531" i="1"/>
  <c r="K531" i="1" s="1"/>
  <c r="J527" i="1"/>
  <c r="K527" i="1" s="1"/>
  <c r="J523" i="1"/>
  <c r="K523" i="1" s="1"/>
  <c r="J519" i="1"/>
  <c r="K519" i="1" s="1"/>
  <c r="K515" i="1"/>
  <c r="J515" i="1"/>
  <c r="J511" i="1"/>
  <c r="K511" i="1" s="1"/>
  <c r="K507" i="1"/>
  <c r="J507" i="1"/>
  <c r="J503" i="1"/>
  <c r="K503" i="1" s="1"/>
  <c r="J499" i="1"/>
  <c r="K499" i="1" s="1"/>
  <c r="J495" i="1"/>
  <c r="K495" i="1" s="1"/>
  <c r="J491" i="1"/>
  <c r="K491" i="1" s="1"/>
  <c r="J487" i="1"/>
  <c r="K487" i="1" s="1"/>
  <c r="K483" i="1"/>
  <c r="J483" i="1"/>
  <c r="J479" i="1"/>
  <c r="K479" i="1" s="1"/>
  <c r="K475" i="1"/>
  <c r="J475" i="1"/>
  <c r="J471" i="1"/>
  <c r="K471" i="1" s="1"/>
  <c r="J467" i="1"/>
  <c r="K467" i="1" s="1"/>
  <c r="J463" i="1"/>
  <c r="K463" i="1" s="1"/>
  <c r="J459" i="1"/>
  <c r="K459" i="1" s="1"/>
  <c r="J455" i="1"/>
  <c r="K455" i="1" s="1"/>
  <c r="K451" i="1"/>
  <c r="J451" i="1"/>
  <c r="J447" i="1"/>
  <c r="K447" i="1" s="1"/>
  <c r="K443" i="1"/>
  <c r="J443" i="1"/>
  <c r="J439" i="1"/>
  <c r="K439" i="1" s="1"/>
  <c r="J435" i="1"/>
  <c r="K435" i="1" s="1"/>
  <c r="J431" i="1"/>
  <c r="K431" i="1" s="1"/>
  <c r="J427" i="1"/>
  <c r="K427" i="1" s="1"/>
  <c r="J423" i="1"/>
  <c r="K423" i="1" s="1"/>
  <c r="K419" i="1"/>
  <c r="J419" i="1"/>
  <c r="J415" i="1"/>
  <c r="K415" i="1" s="1"/>
  <c r="K411" i="1"/>
  <c r="J411" i="1"/>
  <c r="J407" i="1"/>
  <c r="K407" i="1" s="1"/>
  <c r="J403" i="1"/>
  <c r="K403" i="1" s="1"/>
  <c r="J399" i="1"/>
  <c r="K399" i="1" s="1"/>
  <c r="J395" i="1"/>
  <c r="K395" i="1" s="1"/>
  <c r="J391" i="1"/>
  <c r="K391" i="1" s="1"/>
  <c r="K387" i="1"/>
  <c r="J387" i="1"/>
  <c r="J383" i="1"/>
  <c r="K383" i="1" s="1"/>
  <c r="K379" i="1"/>
  <c r="J379" i="1"/>
  <c r="J375" i="1"/>
  <c r="K375" i="1" s="1"/>
  <c r="J371" i="1"/>
  <c r="K371" i="1" s="1"/>
  <c r="J367" i="1"/>
  <c r="K367" i="1" s="1"/>
  <c r="J363" i="1"/>
  <c r="K363" i="1" s="1"/>
  <c r="J359" i="1"/>
  <c r="K359" i="1" s="1"/>
  <c r="K355" i="1"/>
  <c r="J355" i="1"/>
  <c r="J351" i="1"/>
  <c r="K351" i="1" s="1"/>
  <c r="K347" i="1"/>
  <c r="J347" i="1"/>
  <c r="J343" i="1"/>
  <c r="K343" i="1" s="1"/>
  <c r="J339" i="1"/>
  <c r="K339" i="1" s="1"/>
  <c r="J335" i="1"/>
  <c r="K335" i="1" s="1"/>
  <c r="J331" i="1"/>
  <c r="K331" i="1" s="1"/>
  <c r="J327" i="1"/>
  <c r="K327" i="1" s="1"/>
  <c r="K323" i="1"/>
  <c r="J323" i="1"/>
  <c r="J319" i="1"/>
  <c r="K319" i="1" s="1"/>
  <c r="K315" i="1"/>
  <c r="J315" i="1"/>
  <c r="J311" i="1"/>
  <c r="K311" i="1" s="1"/>
  <c r="J307" i="1"/>
  <c r="K307" i="1" s="1"/>
  <c r="J303" i="1"/>
  <c r="K303" i="1" s="1"/>
  <c r="J299" i="1"/>
  <c r="K299" i="1" s="1"/>
  <c r="J295" i="1"/>
  <c r="K295" i="1" s="1"/>
  <c r="K291" i="1"/>
  <c r="J291" i="1"/>
  <c r="J287" i="1"/>
  <c r="K287" i="1" s="1"/>
  <c r="K283" i="1"/>
  <c r="J283" i="1"/>
  <c r="J279" i="1"/>
  <c r="K279" i="1" s="1"/>
  <c r="J275" i="1"/>
  <c r="K275" i="1" s="1"/>
  <c r="K271" i="1"/>
  <c r="J271" i="1"/>
  <c r="J267" i="1"/>
  <c r="K267" i="1" s="1"/>
  <c r="K263" i="1"/>
  <c r="J263" i="1"/>
  <c r="J259" i="1"/>
  <c r="K259" i="1" s="1"/>
  <c r="K255" i="1"/>
  <c r="J255" i="1"/>
  <c r="J251" i="1"/>
  <c r="K251" i="1" s="1"/>
  <c r="K247" i="1"/>
  <c r="J247" i="1"/>
  <c r="J243" i="1"/>
  <c r="K243" i="1" s="1"/>
  <c r="K239" i="1"/>
  <c r="J239" i="1"/>
  <c r="J235" i="1"/>
  <c r="K235" i="1" s="1"/>
  <c r="K231" i="1"/>
  <c r="J231" i="1"/>
  <c r="J227" i="1"/>
  <c r="K227" i="1" s="1"/>
  <c r="K223" i="1"/>
  <c r="J223" i="1"/>
  <c r="J219" i="1"/>
  <c r="K219" i="1" s="1"/>
  <c r="K215" i="1"/>
  <c r="J215" i="1"/>
  <c r="J211" i="1"/>
  <c r="K211" i="1" s="1"/>
  <c r="K207" i="1"/>
  <c r="J207" i="1"/>
  <c r="J203" i="1"/>
  <c r="K203" i="1" s="1"/>
  <c r="K199" i="1"/>
  <c r="J199" i="1"/>
  <c r="J195" i="1"/>
  <c r="K195" i="1" s="1"/>
  <c r="K191" i="1"/>
  <c r="J191" i="1"/>
  <c r="J187" i="1"/>
  <c r="K187" i="1" s="1"/>
  <c r="K183" i="1"/>
  <c r="J183" i="1"/>
  <c r="J179" i="1"/>
  <c r="K179" i="1" s="1"/>
  <c r="K175" i="1"/>
  <c r="J175" i="1"/>
  <c r="J171" i="1"/>
  <c r="K171" i="1" s="1"/>
  <c r="K167" i="1"/>
  <c r="J167" i="1"/>
  <c r="J163" i="1"/>
  <c r="K163" i="1" s="1"/>
  <c r="K159" i="1"/>
  <c r="J159" i="1"/>
  <c r="J155" i="1"/>
  <c r="K155" i="1" s="1"/>
  <c r="K151" i="1"/>
  <c r="J151" i="1"/>
  <c r="J147" i="1"/>
  <c r="K147" i="1" s="1"/>
  <c r="K143" i="1"/>
  <c r="J143" i="1"/>
  <c r="J139" i="1"/>
  <c r="K139" i="1" s="1"/>
  <c r="K135" i="1"/>
  <c r="J135" i="1"/>
  <c r="J131" i="1"/>
  <c r="K131" i="1" s="1"/>
  <c r="K127" i="1"/>
  <c r="J127" i="1"/>
  <c r="J123" i="1"/>
  <c r="K123" i="1" s="1"/>
  <c r="K119" i="1"/>
  <c r="J119" i="1"/>
  <c r="J115" i="1"/>
  <c r="K115" i="1" s="1"/>
  <c r="K111" i="1"/>
  <c r="J111" i="1"/>
  <c r="J107" i="1"/>
  <c r="K107" i="1" s="1"/>
  <c r="K103" i="1"/>
  <c r="J103" i="1"/>
  <c r="J99" i="1"/>
  <c r="K99" i="1" s="1"/>
  <c r="K95" i="1"/>
  <c r="J95" i="1"/>
  <c r="J91" i="1"/>
  <c r="K91" i="1" s="1"/>
  <c r="K87" i="1"/>
  <c r="J87" i="1"/>
  <c r="J83" i="1"/>
  <c r="K83" i="1" s="1"/>
  <c r="K79" i="1"/>
  <c r="J79" i="1"/>
  <c r="J75" i="1"/>
  <c r="K75" i="1" s="1"/>
  <c r="K71" i="1"/>
  <c r="J71" i="1"/>
  <c r="J67" i="1"/>
  <c r="K67" i="1" s="1"/>
  <c r="K63" i="1"/>
  <c r="J63" i="1"/>
  <c r="J59" i="1"/>
  <c r="K59" i="1" s="1"/>
  <c r="K55" i="1"/>
  <c r="J55" i="1"/>
  <c r="J51" i="1"/>
  <c r="K51" i="1" s="1"/>
  <c r="K47" i="1"/>
  <c r="J47" i="1"/>
  <c r="J43" i="1"/>
  <c r="K43" i="1" s="1"/>
  <c r="K39" i="1"/>
  <c r="J39" i="1"/>
  <c r="J35" i="1"/>
  <c r="K35" i="1" s="1"/>
  <c r="K31" i="1"/>
  <c r="J31" i="1"/>
  <c r="J27" i="1"/>
  <c r="K27" i="1" s="1"/>
  <c r="K23" i="1"/>
  <c r="J23" i="1"/>
  <c r="J19" i="1"/>
  <c r="K19" i="1" s="1"/>
  <c r="K15" i="1"/>
  <c r="J15" i="1"/>
  <c r="J11" i="1"/>
  <c r="K11" i="1" s="1"/>
  <c r="K7" i="1"/>
  <c r="J7" i="1"/>
  <c r="J3" i="1"/>
  <c r="K3" i="1" s="1"/>
</calcChain>
</file>

<file path=xl/sharedStrings.xml><?xml version="1.0" encoding="utf-8"?>
<sst xmlns="http://schemas.openxmlformats.org/spreadsheetml/2006/main" count="2857" uniqueCount="54">
  <si>
    <t>Date</t>
  </si>
  <si>
    <t>Day</t>
  </si>
  <si>
    <t>City</t>
  </si>
  <si>
    <t>Product</t>
  </si>
  <si>
    <t>Priority</t>
  </si>
  <si>
    <t>Units Sold</t>
  </si>
  <si>
    <t>Manufacturing Price</t>
  </si>
  <si>
    <t>Sale Price</t>
  </si>
  <si>
    <t>Gross Sales</t>
  </si>
  <si>
    <t>Discounts</t>
  </si>
  <si>
    <t xml:space="preserve"> Sales Amt</t>
  </si>
  <si>
    <t>Sunday</t>
  </si>
  <si>
    <t>Kolkata</t>
  </si>
  <si>
    <t>Note Book</t>
  </si>
  <si>
    <t>High</t>
  </si>
  <si>
    <t>Delhi</t>
  </si>
  <si>
    <t>Pencil</t>
  </si>
  <si>
    <t>Medium</t>
  </si>
  <si>
    <t>Thursday</t>
  </si>
  <si>
    <t>Mumbai</t>
  </si>
  <si>
    <t>Pen</t>
  </si>
  <si>
    <t>None</t>
  </si>
  <si>
    <t>Eraser</t>
  </si>
  <si>
    <t>Chennai</t>
  </si>
  <si>
    <t>Low</t>
  </si>
  <si>
    <t>Friday</t>
  </si>
  <si>
    <t>Sharpner</t>
  </si>
  <si>
    <t>Wednesday</t>
  </si>
  <si>
    <t>A4 Sheet</t>
  </si>
  <si>
    <t>Long Note Book</t>
  </si>
  <si>
    <t>Cello Tape</t>
  </si>
  <si>
    <t>Saturday</t>
  </si>
  <si>
    <t>Tuesday</t>
  </si>
  <si>
    <t>Cover File</t>
  </si>
  <si>
    <t>Bangalore</t>
  </si>
  <si>
    <t>Pen Stand</t>
  </si>
  <si>
    <t>Folder</t>
  </si>
  <si>
    <t>Monday</t>
  </si>
  <si>
    <t>Fill the blank cells with proper formula</t>
  </si>
  <si>
    <t>Others</t>
  </si>
  <si>
    <t>More than 20 of Manucaturing Price</t>
  </si>
  <si>
    <t>More than 15 of Manucaturing Price</t>
  </si>
  <si>
    <t>More than 10 of Manucaturing Price</t>
  </si>
  <si>
    <t>More than 3 of Manucaturing Price</t>
  </si>
  <si>
    <t>Unit Sold</t>
  </si>
  <si>
    <t>Discount</t>
  </si>
  <si>
    <t>More than 2500</t>
  </si>
  <si>
    <t>12% of Gross Sale</t>
  </si>
  <si>
    <t>More than 1800</t>
  </si>
  <si>
    <t>8% of Gross Sale</t>
  </si>
  <si>
    <t>5% of Gross Sale</t>
  </si>
  <si>
    <t>Refer-Database 1 Sheet</t>
  </si>
  <si>
    <t>1. Calculate Sale Price based on below mentioned table.</t>
  </si>
  <si>
    <t>2. Discount should be calculated based on below mentioned condition.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</si>
</sst>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&quot;Rs.&quot;* #,##0.00_);_(&quot;Rs.&quot;* \(#,##0.00\);_(&quot;Rs.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22"/>
      <color rgb="FF002060"/>
      <name val="Monotype Corsiva"/>
      <family val="4"/>
    </font>
    <font>
      <b/>
      <sz val="22"/>
      <color rgb="FF0070C0"/>
      <name val="Monotype Corsiva"/>
      <family val="4"/>
    </font>
    <font>
      <b/>
      <sz val="12"/>
      <color rgb="FF002060"/>
      <name val="Bookman Old Style"/>
      <family val="1"/>
    </font>
    <font>
      <b/>
      <sz val="1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164" fontId="7" fillId="4" borderId="1" xfId="1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164" fontId="7" fillId="4" borderId="1" xfId="1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showGridLines="0" workbookViewId="0">
      <selection activeCell="B9" sqref="B9:F14"/>
    </sheetView>
  </sheetViews>
  <sheetFormatPr defaultRowHeight="15" x14ac:dyDescent="0.25"/>
  <cols>
    <col min="2" max="2" width="16.42578125" bestFit="1" customWidth="1"/>
    <col min="3" max="3" width="16.28515625" bestFit="1" customWidth="1"/>
    <col min="5" max="5" width="10.42578125" customWidth="1"/>
  </cols>
  <sheetData>
    <row r="1" spans="1:15" ht="29.25" x14ac:dyDescent="0.5">
      <c r="C1" s="13" t="s">
        <v>38</v>
      </c>
      <c r="D1" s="13"/>
      <c r="E1" s="13"/>
      <c r="F1" s="13"/>
      <c r="G1" s="13"/>
      <c r="H1" s="13"/>
      <c r="I1" s="13"/>
      <c r="J1" s="5"/>
      <c r="K1" s="5"/>
      <c r="L1" s="5"/>
      <c r="M1" s="5"/>
      <c r="N1" s="5"/>
      <c r="O1" s="5"/>
    </row>
    <row r="7" spans="1:15" ht="15.75" x14ac:dyDescent="0.25">
      <c r="A7" s="6" t="s">
        <v>51</v>
      </c>
    </row>
    <row r="8" spans="1:15" ht="16.5" x14ac:dyDescent="0.3">
      <c r="A8" s="1" t="s">
        <v>52</v>
      </c>
    </row>
    <row r="9" spans="1:15" ht="6.75" customHeight="1" x14ac:dyDescent="0.3">
      <c r="A9" s="1"/>
    </row>
    <row r="10" spans="1:15" x14ac:dyDescent="0.25">
      <c r="B10" s="9" t="s">
        <v>4</v>
      </c>
      <c r="C10" s="14" t="s">
        <v>7</v>
      </c>
      <c r="D10" s="14"/>
      <c r="E10" s="14"/>
      <c r="F10" s="14"/>
    </row>
    <row r="11" spans="1:15" ht="16.5" x14ac:dyDescent="0.3">
      <c r="B11" s="2" t="s">
        <v>14</v>
      </c>
      <c r="C11" s="11" t="s">
        <v>40</v>
      </c>
      <c r="D11" s="11"/>
      <c r="E11" s="11"/>
      <c r="F11" s="11"/>
    </row>
    <row r="12" spans="1:15" ht="16.5" x14ac:dyDescent="0.3">
      <c r="B12" s="2" t="s">
        <v>17</v>
      </c>
      <c r="C12" s="11" t="s">
        <v>41</v>
      </c>
      <c r="D12" s="11"/>
      <c r="E12" s="11"/>
      <c r="F12" s="11"/>
    </row>
    <row r="13" spans="1:15" ht="16.5" x14ac:dyDescent="0.3">
      <c r="B13" s="2" t="s">
        <v>24</v>
      </c>
      <c r="C13" s="11" t="s">
        <v>42</v>
      </c>
      <c r="D13" s="11"/>
      <c r="E13" s="11"/>
      <c r="F13" s="11"/>
    </row>
    <row r="14" spans="1:15" ht="16.5" x14ac:dyDescent="0.3">
      <c r="B14" s="2" t="s">
        <v>39</v>
      </c>
      <c r="C14" s="11" t="s">
        <v>43</v>
      </c>
      <c r="D14" s="11"/>
      <c r="E14" s="11"/>
      <c r="F14" s="11"/>
    </row>
    <row r="15" spans="1:15" ht="6" customHeight="1" x14ac:dyDescent="0.3">
      <c r="A15" s="1"/>
    </row>
    <row r="16" spans="1:15" ht="16.5" x14ac:dyDescent="0.3">
      <c r="A16" s="1" t="s">
        <v>53</v>
      </c>
    </row>
    <row r="17" spans="1:5" ht="7.5" customHeight="1" x14ac:dyDescent="0.3">
      <c r="A17" s="1"/>
    </row>
    <row r="18" spans="1:5" x14ac:dyDescent="0.25">
      <c r="B18" s="10" t="s">
        <v>3</v>
      </c>
      <c r="C18" s="10" t="s">
        <v>44</v>
      </c>
      <c r="D18" s="12" t="s">
        <v>45</v>
      </c>
      <c r="E18" s="12"/>
    </row>
    <row r="19" spans="1:5" ht="16.5" x14ac:dyDescent="0.3">
      <c r="B19" s="2" t="s">
        <v>13</v>
      </c>
      <c r="C19" s="2" t="s">
        <v>46</v>
      </c>
      <c r="D19" s="11" t="s">
        <v>47</v>
      </c>
      <c r="E19" s="11"/>
    </row>
    <row r="20" spans="1:5" ht="16.5" x14ac:dyDescent="0.3">
      <c r="B20" s="8" t="s">
        <v>29</v>
      </c>
      <c r="C20" s="2" t="s">
        <v>48</v>
      </c>
      <c r="D20" s="11" t="s">
        <v>49</v>
      </c>
      <c r="E20" s="11"/>
    </row>
    <row r="21" spans="1:5" ht="16.5" x14ac:dyDescent="0.3">
      <c r="B21" s="11" t="s">
        <v>39</v>
      </c>
      <c r="C21" s="11"/>
      <c r="D21" s="11" t="s">
        <v>50</v>
      </c>
      <c r="E21" s="11"/>
    </row>
    <row r="22" spans="1:5" ht="7.5" customHeight="1" x14ac:dyDescent="0.3">
      <c r="B22" s="7"/>
      <c r="C22" s="7"/>
    </row>
    <row r="23" spans="1:5" ht="16.5" x14ac:dyDescent="0.3">
      <c r="A23" s="1"/>
    </row>
  </sheetData>
  <mergeCells count="11">
    <mergeCell ref="D19:E19"/>
    <mergeCell ref="D20:E20"/>
    <mergeCell ref="D21:E21"/>
    <mergeCell ref="D18:E18"/>
    <mergeCell ref="C1:I1"/>
    <mergeCell ref="B21:C21"/>
    <mergeCell ref="C11:F11"/>
    <mergeCell ref="C12:F12"/>
    <mergeCell ref="C13:F13"/>
    <mergeCell ref="C14:F14"/>
    <mergeCell ref="C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01"/>
  <sheetViews>
    <sheetView showGridLines="0" tabSelected="1" topLeftCell="D1" workbookViewId="0">
      <selection activeCell="E2" sqref="E2:E701"/>
    </sheetView>
  </sheetViews>
  <sheetFormatPr defaultRowHeight="15" x14ac:dyDescent="0.25"/>
  <cols>
    <col min="1" max="1" width="12.7109375" bestFit="1" customWidth="1"/>
    <col min="2" max="2" width="12.140625" bestFit="1" customWidth="1"/>
    <col min="3" max="3" width="10.5703125" bestFit="1" customWidth="1"/>
    <col min="4" max="4" width="16.42578125" bestFit="1" customWidth="1"/>
    <col min="5" max="5" width="9" bestFit="1" customWidth="1"/>
    <col min="6" max="6" width="11.42578125" bestFit="1" customWidth="1"/>
    <col min="7" max="7" width="21.85546875" bestFit="1" customWidth="1"/>
    <col min="8" max="8" width="10.85546875" bestFit="1" customWidth="1"/>
    <col min="9" max="9" width="12.7109375" bestFit="1" customWidth="1"/>
    <col min="10" max="10" width="11" bestFit="1" customWidth="1"/>
    <col min="11" max="11" width="11.7109375" bestFit="1" customWidth="1"/>
    <col min="12" max="12" width="4.85546875" customWidth="1"/>
    <col min="13" max="13" width="17.85546875" customWidth="1"/>
    <col min="14" max="14" width="17" customWidth="1"/>
  </cols>
  <sheetData>
    <row r="1" spans="1:1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5" t="s">
        <v>9</v>
      </c>
      <c r="K1" s="3" t="s">
        <v>10</v>
      </c>
    </row>
    <row r="2" spans="1:17" ht="16.5" x14ac:dyDescent="0.3">
      <c r="A2" s="4">
        <v>42736</v>
      </c>
      <c r="B2" s="2" t="s">
        <v>11</v>
      </c>
      <c r="C2" s="2" t="s">
        <v>12</v>
      </c>
      <c r="D2" s="2" t="s">
        <v>13</v>
      </c>
      <c r="E2" s="16" t="s">
        <v>14</v>
      </c>
      <c r="F2" s="2">
        <v>1618.5</v>
      </c>
      <c r="G2" s="2">
        <v>30</v>
      </c>
      <c r="H2" s="2">
        <f>IF(E2="High",G2+20,IF(E2="Medium",G2+15,IF(E2="Low",G2+10,G2+3)))</f>
        <v>50</v>
      </c>
      <c r="I2" s="2">
        <f>F2*H2</f>
        <v>80925</v>
      </c>
      <c r="J2" s="16">
        <f>IF(AND(D2="Note Book",F2&gt;2500),I2*12%,IF(AND(E2="Long Note Book",N2&lt;1800),I2*8%,I2*5%))</f>
        <v>4046.25</v>
      </c>
      <c r="K2" s="2">
        <f>I2-J2</f>
        <v>76878.75</v>
      </c>
    </row>
    <row r="3" spans="1:17" ht="16.5" x14ac:dyDescent="0.3">
      <c r="A3" s="4">
        <v>42736</v>
      </c>
      <c r="B3" s="2" t="s">
        <v>11</v>
      </c>
      <c r="C3" s="2" t="s">
        <v>15</v>
      </c>
      <c r="D3" s="2" t="s">
        <v>16</v>
      </c>
      <c r="E3" s="16" t="s">
        <v>17</v>
      </c>
      <c r="F3" s="2">
        <v>1321</v>
      </c>
      <c r="G3" s="2">
        <v>4</v>
      </c>
      <c r="H3" s="2">
        <f t="shared" ref="H3:H66" si="0">IF(E3="High",G3+20,IF(E3="Medium",G3+15,IF(E3="Low",G3+10,G3+3)))</f>
        <v>19</v>
      </c>
      <c r="I3" s="2">
        <f t="shared" ref="I3:I66" si="1">F3*H3</f>
        <v>25099</v>
      </c>
      <c r="J3" s="16">
        <f t="shared" ref="J3:J66" si="2">IF(AND(D3="Note Book",F3&gt;2500),I3*12%,IF(AND(E3="Long Note Book",N3&lt;1800),I3*8%,I3*5%))</f>
        <v>1254.95</v>
      </c>
      <c r="K3" s="2">
        <f t="shared" ref="K3:K66" si="3">I3-J3</f>
        <v>23844.05</v>
      </c>
    </row>
    <row r="4" spans="1:17" ht="16.5" x14ac:dyDescent="0.3">
      <c r="A4" s="4">
        <v>42887</v>
      </c>
      <c r="B4" s="2" t="s">
        <v>18</v>
      </c>
      <c r="C4" s="2" t="s">
        <v>19</v>
      </c>
      <c r="D4" s="2" t="s">
        <v>20</v>
      </c>
      <c r="E4" s="16" t="s">
        <v>21</v>
      </c>
      <c r="F4" s="2">
        <v>2178</v>
      </c>
      <c r="G4" s="2">
        <v>5</v>
      </c>
      <c r="H4" s="2">
        <f t="shared" si="0"/>
        <v>8</v>
      </c>
      <c r="I4" s="2">
        <f t="shared" si="1"/>
        <v>17424</v>
      </c>
      <c r="J4" s="16">
        <f t="shared" si="2"/>
        <v>871.2</v>
      </c>
      <c r="K4" s="2">
        <f t="shared" si="3"/>
        <v>16552.8</v>
      </c>
    </row>
    <row r="5" spans="1:17" ht="16.5" x14ac:dyDescent="0.3">
      <c r="A5" s="4">
        <v>42887</v>
      </c>
      <c r="B5" s="2" t="s">
        <v>18</v>
      </c>
      <c r="C5" s="2" t="s">
        <v>15</v>
      </c>
      <c r="D5" s="2" t="s">
        <v>22</v>
      </c>
      <c r="E5" s="16" t="s">
        <v>21</v>
      </c>
      <c r="F5" s="2">
        <v>888</v>
      </c>
      <c r="G5" s="2">
        <v>3</v>
      </c>
      <c r="H5" s="2">
        <f t="shared" si="0"/>
        <v>6</v>
      </c>
      <c r="I5" s="2">
        <f t="shared" si="1"/>
        <v>5328</v>
      </c>
      <c r="J5" s="16">
        <f t="shared" si="2"/>
        <v>266.40000000000003</v>
      </c>
      <c r="K5" s="2">
        <f t="shared" si="3"/>
        <v>5061.6000000000004</v>
      </c>
      <c r="M5" s="10" t="s">
        <v>3</v>
      </c>
      <c r="N5" s="10" t="s">
        <v>44</v>
      </c>
      <c r="O5" s="12" t="s">
        <v>45</v>
      </c>
      <c r="P5" s="12"/>
    </row>
    <row r="6" spans="1:17" ht="16.5" x14ac:dyDescent="0.3">
      <c r="A6" s="4">
        <v>42887</v>
      </c>
      <c r="B6" s="2" t="s">
        <v>18</v>
      </c>
      <c r="C6" s="2" t="s">
        <v>23</v>
      </c>
      <c r="D6" s="2" t="s">
        <v>13</v>
      </c>
      <c r="E6" s="16" t="s">
        <v>24</v>
      </c>
      <c r="F6" s="2">
        <v>2470</v>
      </c>
      <c r="G6" s="2">
        <v>30</v>
      </c>
      <c r="H6" s="2">
        <f t="shared" si="0"/>
        <v>40</v>
      </c>
      <c r="I6" s="2">
        <f t="shared" si="1"/>
        <v>98800</v>
      </c>
      <c r="J6" s="16">
        <f t="shared" si="2"/>
        <v>4940</v>
      </c>
      <c r="K6" s="2">
        <f t="shared" si="3"/>
        <v>93860</v>
      </c>
      <c r="M6" s="2" t="s">
        <v>13</v>
      </c>
      <c r="N6" s="2" t="s">
        <v>46</v>
      </c>
      <c r="O6" s="11" t="s">
        <v>47</v>
      </c>
      <c r="P6" s="11"/>
    </row>
    <row r="7" spans="1:17" ht="16.5" x14ac:dyDescent="0.3">
      <c r="A7" s="4">
        <v>43070</v>
      </c>
      <c r="B7" s="2" t="s">
        <v>25</v>
      </c>
      <c r="C7" s="2" t="s">
        <v>15</v>
      </c>
      <c r="D7" s="2" t="s">
        <v>26</v>
      </c>
      <c r="E7" s="16" t="s">
        <v>21</v>
      </c>
      <c r="F7" s="2">
        <v>1513</v>
      </c>
      <c r="G7" s="2">
        <v>2</v>
      </c>
      <c r="H7" s="2">
        <f t="shared" si="0"/>
        <v>5</v>
      </c>
      <c r="I7" s="2">
        <f t="shared" si="1"/>
        <v>7565</v>
      </c>
      <c r="J7" s="16">
        <f t="shared" si="2"/>
        <v>378.25</v>
      </c>
      <c r="K7" s="2">
        <f t="shared" si="3"/>
        <v>7186.75</v>
      </c>
      <c r="M7" s="8" t="s">
        <v>29</v>
      </c>
      <c r="N7" s="2" t="s">
        <v>48</v>
      </c>
      <c r="O7" s="11" t="s">
        <v>49</v>
      </c>
      <c r="P7" s="11"/>
    </row>
    <row r="8" spans="1:17" ht="16.5" x14ac:dyDescent="0.3">
      <c r="A8" s="4">
        <v>42795</v>
      </c>
      <c r="B8" s="2" t="s">
        <v>27</v>
      </c>
      <c r="C8" s="2" t="s">
        <v>15</v>
      </c>
      <c r="D8" s="2" t="s">
        <v>16</v>
      </c>
      <c r="E8" s="16" t="s">
        <v>17</v>
      </c>
      <c r="F8" s="2">
        <v>921</v>
      </c>
      <c r="G8" s="2">
        <v>4</v>
      </c>
      <c r="H8" s="2">
        <f t="shared" si="0"/>
        <v>19</v>
      </c>
      <c r="I8" s="2">
        <f t="shared" si="1"/>
        <v>17499</v>
      </c>
      <c r="J8" s="16">
        <f t="shared" si="2"/>
        <v>874.95</v>
      </c>
      <c r="K8" s="2">
        <f t="shared" si="3"/>
        <v>16624.05</v>
      </c>
      <c r="M8" s="11" t="s">
        <v>39</v>
      </c>
      <c r="N8" s="11"/>
      <c r="O8" s="11" t="s">
        <v>50</v>
      </c>
      <c r="P8" s="11"/>
    </row>
    <row r="9" spans="1:17" ht="16.5" x14ac:dyDescent="0.3">
      <c r="A9" s="4">
        <v>42887</v>
      </c>
      <c r="B9" s="2" t="s">
        <v>18</v>
      </c>
      <c r="C9" s="2" t="s">
        <v>12</v>
      </c>
      <c r="D9" s="2" t="s">
        <v>28</v>
      </c>
      <c r="E9" s="16" t="s">
        <v>14</v>
      </c>
      <c r="F9" s="2">
        <v>2518</v>
      </c>
      <c r="G9" s="2">
        <v>120</v>
      </c>
      <c r="H9" s="2">
        <f t="shared" si="0"/>
        <v>140</v>
      </c>
      <c r="I9" s="2">
        <f t="shared" si="1"/>
        <v>352520</v>
      </c>
      <c r="J9" s="16">
        <f t="shared" si="2"/>
        <v>17626</v>
      </c>
      <c r="K9" s="2">
        <f t="shared" si="3"/>
        <v>334894</v>
      </c>
      <c r="M9" s="7"/>
      <c r="N9" s="7"/>
    </row>
    <row r="10" spans="1:17" ht="16.5" x14ac:dyDescent="0.3">
      <c r="A10" s="4">
        <v>42887</v>
      </c>
      <c r="B10" s="2" t="s">
        <v>18</v>
      </c>
      <c r="C10" s="2" t="s">
        <v>19</v>
      </c>
      <c r="D10" s="2" t="s">
        <v>29</v>
      </c>
      <c r="E10" s="16" t="s">
        <v>21</v>
      </c>
      <c r="F10" s="2">
        <v>1899</v>
      </c>
      <c r="G10" s="2">
        <v>40</v>
      </c>
      <c r="H10" s="2">
        <f t="shared" si="0"/>
        <v>43</v>
      </c>
      <c r="I10" s="2">
        <f t="shared" si="1"/>
        <v>81657</v>
      </c>
      <c r="J10" s="16">
        <f t="shared" si="2"/>
        <v>4082.8500000000004</v>
      </c>
      <c r="K10" s="2">
        <f t="shared" si="3"/>
        <v>77574.149999999994</v>
      </c>
      <c r="L10" s="1"/>
    </row>
    <row r="11" spans="1:17" ht="16.5" x14ac:dyDescent="0.3">
      <c r="A11" s="4">
        <v>42887</v>
      </c>
      <c r="B11" s="2" t="s">
        <v>18</v>
      </c>
      <c r="C11" s="2" t="s">
        <v>15</v>
      </c>
      <c r="D11" s="2" t="s">
        <v>26</v>
      </c>
      <c r="E11" s="16" t="s">
        <v>24</v>
      </c>
      <c r="F11" s="2">
        <v>1545</v>
      </c>
      <c r="G11" s="2">
        <v>2</v>
      </c>
      <c r="H11" s="2">
        <f t="shared" si="0"/>
        <v>12</v>
      </c>
      <c r="I11" s="2">
        <f t="shared" si="1"/>
        <v>18540</v>
      </c>
      <c r="J11" s="16">
        <f t="shared" si="2"/>
        <v>927</v>
      </c>
      <c r="K11" s="2">
        <f t="shared" si="3"/>
        <v>17613</v>
      </c>
    </row>
    <row r="12" spans="1:17" ht="16.5" x14ac:dyDescent="0.3">
      <c r="A12" s="4">
        <v>42887</v>
      </c>
      <c r="B12" s="2" t="s">
        <v>18</v>
      </c>
      <c r="C12" s="2" t="s">
        <v>23</v>
      </c>
      <c r="D12" s="2" t="s">
        <v>30</v>
      </c>
      <c r="E12" s="16" t="s">
        <v>17</v>
      </c>
      <c r="F12" s="2">
        <v>2470</v>
      </c>
      <c r="G12" s="2">
        <v>6</v>
      </c>
      <c r="H12" s="2">
        <f t="shared" si="0"/>
        <v>21</v>
      </c>
      <c r="I12" s="2">
        <f t="shared" si="1"/>
        <v>51870</v>
      </c>
      <c r="J12" s="16">
        <f t="shared" si="2"/>
        <v>2593.5</v>
      </c>
      <c r="K12" s="2">
        <f t="shared" si="3"/>
        <v>49276.5</v>
      </c>
    </row>
    <row r="13" spans="1:17" ht="16.5" x14ac:dyDescent="0.3">
      <c r="A13" s="4">
        <v>42917</v>
      </c>
      <c r="B13" s="2" t="s">
        <v>31</v>
      </c>
      <c r="C13" s="2" t="s">
        <v>12</v>
      </c>
      <c r="D13" s="2" t="s">
        <v>20</v>
      </c>
      <c r="E13" s="16" t="s">
        <v>21</v>
      </c>
      <c r="F13" s="2">
        <v>2665.5</v>
      </c>
      <c r="G13" s="2">
        <v>5</v>
      </c>
      <c r="H13" s="2">
        <f t="shared" si="0"/>
        <v>8</v>
      </c>
      <c r="I13" s="2">
        <f t="shared" si="1"/>
        <v>21324</v>
      </c>
      <c r="J13" s="16">
        <f t="shared" si="2"/>
        <v>1066.2</v>
      </c>
      <c r="K13" s="2">
        <f t="shared" si="3"/>
        <v>20257.8</v>
      </c>
    </row>
    <row r="14" spans="1:17" ht="16.5" x14ac:dyDescent="0.3">
      <c r="A14" s="4">
        <v>42948</v>
      </c>
      <c r="B14" s="2" t="s">
        <v>32</v>
      </c>
      <c r="C14" s="2" t="s">
        <v>23</v>
      </c>
      <c r="D14" s="2" t="s">
        <v>28</v>
      </c>
      <c r="E14" s="16" t="s">
        <v>21</v>
      </c>
      <c r="F14" s="2">
        <v>958</v>
      </c>
      <c r="G14" s="2">
        <v>120</v>
      </c>
      <c r="H14" s="2">
        <f t="shared" si="0"/>
        <v>123</v>
      </c>
      <c r="I14" s="2">
        <f t="shared" si="1"/>
        <v>117834</v>
      </c>
      <c r="J14" s="16">
        <f t="shared" si="2"/>
        <v>5891.7000000000007</v>
      </c>
      <c r="K14" s="2">
        <f t="shared" si="3"/>
        <v>111942.3</v>
      </c>
    </row>
    <row r="15" spans="1:17" ht="16.5" x14ac:dyDescent="0.3">
      <c r="A15" s="4">
        <v>42979</v>
      </c>
      <c r="B15" s="2" t="s">
        <v>25</v>
      </c>
      <c r="C15" s="2" t="s">
        <v>15</v>
      </c>
      <c r="D15" s="2" t="s">
        <v>13</v>
      </c>
      <c r="E15" s="16" t="s">
        <v>21</v>
      </c>
      <c r="F15" s="2">
        <v>2146</v>
      </c>
      <c r="G15" s="2">
        <v>30</v>
      </c>
      <c r="H15" s="2">
        <f t="shared" si="0"/>
        <v>33</v>
      </c>
      <c r="I15" s="2">
        <f t="shared" si="1"/>
        <v>70818</v>
      </c>
      <c r="J15" s="16">
        <f t="shared" si="2"/>
        <v>3540.9</v>
      </c>
      <c r="K15" s="2">
        <f t="shared" si="3"/>
        <v>67277.100000000006</v>
      </c>
    </row>
    <row r="16" spans="1:17" ht="16.5" x14ac:dyDescent="0.3">
      <c r="A16" s="4">
        <v>43009</v>
      </c>
      <c r="B16" s="2" t="s">
        <v>11</v>
      </c>
      <c r="C16" s="2" t="s">
        <v>12</v>
      </c>
      <c r="D16" s="2" t="s">
        <v>33</v>
      </c>
      <c r="E16" s="16" t="s">
        <v>14</v>
      </c>
      <c r="F16" s="2">
        <v>345</v>
      </c>
      <c r="G16" s="2">
        <v>20</v>
      </c>
      <c r="H16" s="2">
        <f t="shared" si="0"/>
        <v>40</v>
      </c>
      <c r="I16" s="2">
        <f t="shared" si="1"/>
        <v>13800</v>
      </c>
      <c r="J16" s="16">
        <f t="shared" si="2"/>
        <v>690</v>
      </c>
      <c r="K16" s="2">
        <f t="shared" si="3"/>
        <v>13110</v>
      </c>
      <c r="M16" s="9" t="s">
        <v>4</v>
      </c>
      <c r="N16" s="14" t="s">
        <v>7</v>
      </c>
      <c r="O16" s="14"/>
      <c r="P16" s="14"/>
      <c r="Q16" s="14"/>
    </row>
    <row r="17" spans="1:17" ht="16.5" x14ac:dyDescent="0.3">
      <c r="A17" s="4">
        <v>43070</v>
      </c>
      <c r="B17" s="2" t="s">
        <v>25</v>
      </c>
      <c r="C17" s="2" t="s">
        <v>34</v>
      </c>
      <c r="D17" s="2" t="s">
        <v>35</v>
      </c>
      <c r="E17" s="16" t="s">
        <v>24</v>
      </c>
      <c r="F17" s="2">
        <v>615</v>
      </c>
      <c r="G17" s="2">
        <v>25</v>
      </c>
      <c r="H17" s="2">
        <f t="shared" si="0"/>
        <v>35</v>
      </c>
      <c r="I17" s="2">
        <f t="shared" si="1"/>
        <v>21525</v>
      </c>
      <c r="J17" s="16">
        <f t="shared" si="2"/>
        <v>1076.25</v>
      </c>
      <c r="K17" s="2">
        <f t="shared" si="3"/>
        <v>20448.75</v>
      </c>
      <c r="M17" s="2" t="s">
        <v>14</v>
      </c>
      <c r="N17" s="11" t="s">
        <v>40</v>
      </c>
      <c r="O17" s="11"/>
      <c r="P17" s="11"/>
      <c r="Q17" s="11"/>
    </row>
    <row r="18" spans="1:17" ht="16.5" x14ac:dyDescent="0.3">
      <c r="A18" s="4">
        <v>42767</v>
      </c>
      <c r="B18" s="2" t="s">
        <v>27</v>
      </c>
      <c r="C18" s="2" t="s">
        <v>12</v>
      </c>
      <c r="D18" s="2" t="s">
        <v>22</v>
      </c>
      <c r="E18" s="16" t="s">
        <v>21</v>
      </c>
      <c r="F18" s="2">
        <v>292</v>
      </c>
      <c r="G18" s="2">
        <v>3</v>
      </c>
      <c r="H18" s="2">
        <f t="shared" si="0"/>
        <v>6</v>
      </c>
      <c r="I18" s="2">
        <f t="shared" si="1"/>
        <v>1752</v>
      </c>
      <c r="J18" s="16">
        <f t="shared" si="2"/>
        <v>87.600000000000009</v>
      </c>
      <c r="K18" s="2">
        <f t="shared" si="3"/>
        <v>1664.4</v>
      </c>
      <c r="M18" s="2" t="s">
        <v>17</v>
      </c>
      <c r="N18" s="11" t="s">
        <v>41</v>
      </c>
      <c r="O18" s="11"/>
      <c r="P18" s="11"/>
      <c r="Q18" s="11"/>
    </row>
    <row r="19" spans="1:17" ht="16.5" x14ac:dyDescent="0.3">
      <c r="A19" s="4">
        <v>42767</v>
      </c>
      <c r="B19" s="2" t="s">
        <v>27</v>
      </c>
      <c r="C19" s="2" t="s">
        <v>23</v>
      </c>
      <c r="D19" s="2" t="s">
        <v>30</v>
      </c>
      <c r="E19" s="16" t="s">
        <v>21</v>
      </c>
      <c r="F19" s="2">
        <v>974</v>
      </c>
      <c r="G19" s="2">
        <v>6</v>
      </c>
      <c r="H19" s="2">
        <f t="shared" si="0"/>
        <v>9</v>
      </c>
      <c r="I19" s="2">
        <f t="shared" si="1"/>
        <v>8766</v>
      </c>
      <c r="J19" s="16">
        <f t="shared" si="2"/>
        <v>438.3</v>
      </c>
      <c r="K19" s="2">
        <f t="shared" si="3"/>
        <v>8327.7000000000007</v>
      </c>
      <c r="M19" s="2" t="s">
        <v>24</v>
      </c>
      <c r="N19" s="11" t="s">
        <v>42</v>
      </c>
      <c r="O19" s="11"/>
      <c r="P19" s="11"/>
      <c r="Q19" s="11"/>
    </row>
    <row r="20" spans="1:17" ht="16.5" x14ac:dyDescent="0.3">
      <c r="A20" s="4">
        <v>42887</v>
      </c>
      <c r="B20" s="2" t="s">
        <v>18</v>
      </c>
      <c r="C20" s="2" t="s">
        <v>12</v>
      </c>
      <c r="D20" s="2" t="s">
        <v>36</v>
      </c>
      <c r="E20" s="16" t="s">
        <v>21</v>
      </c>
      <c r="F20" s="2">
        <v>2518</v>
      </c>
      <c r="G20" s="2">
        <v>10</v>
      </c>
      <c r="H20" s="2">
        <f t="shared" si="0"/>
        <v>13</v>
      </c>
      <c r="I20" s="2">
        <f t="shared" si="1"/>
        <v>32734</v>
      </c>
      <c r="J20" s="16">
        <f t="shared" si="2"/>
        <v>1636.7</v>
      </c>
      <c r="K20" s="2">
        <f t="shared" si="3"/>
        <v>31097.3</v>
      </c>
      <c r="M20" s="2" t="s">
        <v>39</v>
      </c>
      <c r="N20" s="11" t="s">
        <v>43</v>
      </c>
      <c r="O20" s="11"/>
      <c r="P20" s="11"/>
      <c r="Q20" s="11"/>
    </row>
    <row r="21" spans="1:17" ht="16.5" x14ac:dyDescent="0.3">
      <c r="A21" s="4">
        <v>42887</v>
      </c>
      <c r="B21" s="2" t="s">
        <v>18</v>
      </c>
      <c r="C21" s="2" t="s">
        <v>15</v>
      </c>
      <c r="D21" s="2" t="s">
        <v>28</v>
      </c>
      <c r="E21" s="16" t="s">
        <v>21</v>
      </c>
      <c r="F21" s="2">
        <v>1006</v>
      </c>
      <c r="G21" s="2">
        <v>120</v>
      </c>
      <c r="H21" s="2">
        <f t="shared" si="0"/>
        <v>123</v>
      </c>
      <c r="I21" s="2">
        <f t="shared" si="1"/>
        <v>123738</v>
      </c>
      <c r="J21" s="16">
        <f t="shared" si="2"/>
        <v>6186.9000000000005</v>
      </c>
      <c r="K21" s="2">
        <f t="shared" si="3"/>
        <v>117551.1</v>
      </c>
    </row>
    <row r="22" spans="1:17" ht="16.5" x14ac:dyDescent="0.3">
      <c r="A22" s="4">
        <v>42917</v>
      </c>
      <c r="B22" s="2" t="s">
        <v>31</v>
      </c>
      <c r="C22" s="2" t="s">
        <v>15</v>
      </c>
      <c r="D22" s="2" t="s">
        <v>29</v>
      </c>
      <c r="E22" s="16" t="s">
        <v>24</v>
      </c>
      <c r="F22" s="2">
        <v>367</v>
      </c>
      <c r="G22" s="2">
        <v>40</v>
      </c>
      <c r="H22" s="2">
        <f t="shared" si="0"/>
        <v>50</v>
      </c>
      <c r="I22" s="2">
        <f t="shared" si="1"/>
        <v>18350</v>
      </c>
      <c r="J22" s="16">
        <f t="shared" si="2"/>
        <v>917.5</v>
      </c>
      <c r="K22" s="2">
        <f t="shared" si="3"/>
        <v>17432.5</v>
      </c>
    </row>
    <row r="23" spans="1:17" ht="16.5" x14ac:dyDescent="0.3">
      <c r="A23" s="4">
        <v>42948</v>
      </c>
      <c r="B23" s="2" t="s">
        <v>32</v>
      </c>
      <c r="C23" s="2" t="s">
        <v>23</v>
      </c>
      <c r="D23" s="2" t="s">
        <v>20</v>
      </c>
      <c r="E23" s="16" t="s">
        <v>14</v>
      </c>
      <c r="F23" s="2">
        <v>883</v>
      </c>
      <c r="G23" s="2">
        <v>5</v>
      </c>
      <c r="H23" s="2">
        <f t="shared" si="0"/>
        <v>25</v>
      </c>
      <c r="I23" s="2">
        <f t="shared" si="1"/>
        <v>22075</v>
      </c>
      <c r="J23" s="16">
        <f t="shared" si="2"/>
        <v>1103.75</v>
      </c>
      <c r="K23" s="2">
        <f t="shared" si="3"/>
        <v>20971.25</v>
      </c>
    </row>
    <row r="24" spans="1:17" ht="16.5" x14ac:dyDescent="0.3">
      <c r="A24" s="4">
        <v>42979</v>
      </c>
      <c r="B24" s="2" t="s">
        <v>25</v>
      </c>
      <c r="C24" s="2" t="s">
        <v>19</v>
      </c>
      <c r="D24" s="2" t="s">
        <v>26</v>
      </c>
      <c r="E24" s="16" t="s">
        <v>14</v>
      </c>
      <c r="F24" s="2">
        <v>549</v>
      </c>
      <c r="G24" s="2">
        <v>2</v>
      </c>
      <c r="H24" s="2">
        <f t="shared" si="0"/>
        <v>22</v>
      </c>
      <c r="I24" s="2">
        <f t="shared" si="1"/>
        <v>12078</v>
      </c>
      <c r="J24" s="16">
        <f t="shared" si="2"/>
        <v>603.9</v>
      </c>
      <c r="K24" s="2">
        <f t="shared" si="3"/>
        <v>11474.1</v>
      </c>
    </row>
    <row r="25" spans="1:17" ht="16.5" x14ac:dyDescent="0.3">
      <c r="A25" s="4">
        <v>42979</v>
      </c>
      <c r="B25" s="2" t="s">
        <v>25</v>
      </c>
      <c r="C25" s="2" t="s">
        <v>23</v>
      </c>
      <c r="D25" s="2" t="s">
        <v>35</v>
      </c>
      <c r="E25" s="16" t="s">
        <v>17</v>
      </c>
      <c r="F25" s="2">
        <v>788</v>
      </c>
      <c r="G25" s="2">
        <v>25</v>
      </c>
      <c r="H25" s="2">
        <f t="shared" si="0"/>
        <v>40</v>
      </c>
      <c r="I25" s="2">
        <f t="shared" si="1"/>
        <v>31520</v>
      </c>
      <c r="J25" s="16">
        <f t="shared" si="2"/>
        <v>1576</v>
      </c>
      <c r="K25" s="2">
        <f t="shared" si="3"/>
        <v>29944</v>
      </c>
    </row>
    <row r="26" spans="1:17" ht="16.5" x14ac:dyDescent="0.3">
      <c r="A26" s="4">
        <v>42979</v>
      </c>
      <c r="B26" s="2" t="s">
        <v>25</v>
      </c>
      <c r="C26" s="2" t="s">
        <v>23</v>
      </c>
      <c r="D26" s="2" t="s">
        <v>22</v>
      </c>
      <c r="E26" s="16" t="s">
        <v>24</v>
      </c>
      <c r="F26" s="2">
        <v>2472</v>
      </c>
      <c r="G26" s="2">
        <v>3</v>
      </c>
      <c r="H26" s="2">
        <f t="shared" si="0"/>
        <v>13</v>
      </c>
      <c r="I26" s="2">
        <f t="shared" si="1"/>
        <v>32136</v>
      </c>
      <c r="J26" s="16">
        <f t="shared" si="2"/>
        <v>1606.8000000000002</v>
      </c>
      <c r="K26" s="2">
        <f t="shared" si="3"/>
        <v>30529.200000000001</v>
      </c>
    </row>
    <row r="27" spans="1:17" ht="16.5" x14ac:dyDescent="0.3">
      <c r="A27" s="4">
        <v>43009</v>
      </c>
      <c r="B27" s="2" t="s">
        <v>11</v>
      </c>
      <c r="C27" s="2" t="s">
        <v>34</v>
      </c>
      <c r="D27" s="2" t="s">
        <v>16</v>
      </c>
      <c r="E27" s="16" t="s">
        <v>24</v>
      </c>
      <c r="F27" s="2">
        <v>1143</v>
      </c>
      <c r="G27" s="2">
        <v>4</v>
      </c>
      <c r="H27" s="2">
        <f t="shared" si="0"/>
        <v>14</v>
      </c>
      <c r="I27" s="2">
        <f t="shared" si="1"/>
        <v>16002</v>
      </c>
      <c r="J27" s="16">
        <f t="shared" si="2"/>
        <v>800.1</v>
      </c>
      <c r="K27" s="2">
        <f t="shared" si="3"/>
        <v>15201.9</v>
      </c>
    </row>
    <row r="28" spans="1:17" ht="16.5" x14ac:dyDescent="0.3">
      <c r="A28" s="4">
        <v>43040</v>
      </c>
      <c r="B28" s="2" t="s">
        <v>27</v>
      </c>
      <c r="C28" s="2" t="s">
        <v>12</v>
      </c>
      <c r="D28" s="2" t="s">
        <v>13</v>
      </c>
      <c r="E28" s="16" t="s">
        <v>21</v>
      </c>
      <c r="F28" s="2">
        <v>1725</v>
      </c>
      <c r="G28" s="2">
        <v>30</v>
      </c>
      <c r="H28" s="2">
        <f t="shared" si="0"/>
        <v>33</v>
      </c>
      <c r="I28" s="2">
        <f t="shared" si="1"/>
        <v>56925</v>
      </c>
      <c r="J28" s="16">
        <f t="shared" si="2"/>
        <v>2846.25</v>
      </c>
      <c r="K28" s="2">
        <f t="shared" si="3"/>
        <v>54078.75</v>
      </c>
    </row>
    <row r="29" spans="1:17" ht="16.5" x14ac:dyDescent="0.3">
      <c r="A29" s="4">
        <v>43040</v>
      </c>
      <c r="B29" s="2" t="s">
        <v>27</v>
      </c>
      <c r="C29" s="2" t="s">
        <v>34</v>
      </c>
      <c r="D29" s="2" t="s">
        <v>28</v>
      </c>
      <c r="E29" s="16" t="s">
        <v>21</v>
      </c>
      <c r="F29" s="2">
        <v>912</v>
      </c>
      <c r="G29" s="2">
        <v>120</v>
      </c>
      <c r="H29" s="2">
        <f t="shared" si="0"/>
        <v>123</v>
      </c>
      <c r="I29" s="2">
        <f t="shared" si="1"/>
        <v>112176</v>
      </c>
      <c r="J29" s="16">
        <f t="shared" si="2"/>
        <v>5608.8</v>
      </c>
      <c r="K29" s="2">
        <f t="shared" si="3"/>
        <v>106567.2</v>
      </c>
    </row>
    <row r="30" spans="1:17" ht="16.5" x14ac:dyDescent="0.3">
      <c r="A30" s="4">
        <v>43070</v>
      </c>
      <c r="B30" s="2" t="s">
        <v>25</v>
      </c>
      <c r="C30" s="2" t="s">
        <v>12</v>
      </c>
      <c r="D30" s="2" t="s">
        <v>20</v>
      </c>
      <c r="E30" s="16" t="s">
        <v>21</v>
      </c>
      <c r="F30" s="2">
        <v>2152</v>
      </c>
      <c r="G30" s="2">
        <v>5</v>
      </c>
      <c r="H30" s="2">
        <f t="shared" si="0"/>
        <v>8</v>
      </c>
      <c r="I30" s="2">
        <f t="shared" si="1"/>
        <v>17216</v>
      </c>
      <c r="J30" s="16">
        <f t="shared" si="2"/>
        <v>860.80000000000007</v>
      </c>
      <c r="K30" s="2">
        <f t="shared" si="3"/>
        <v>16355.2</v>
      </c>
    </row>
    <row r="31" spans="1:17" ht="16.5" x14ac:dyDescent="0.3">
      <c r="A31" s="4">
        <v>43070</v>
      </c>
      <c r="B31" s="2" t="s">
        <v>25</v>
      </c>
      <c r="C31" s="2" t="s">
        <v>12</v>
      </c>
      <c r="D31" s="2" t="s">
        <v>26</v>
      </c>
      <c r="E31" s="16" t="s">
        <v>24</v>
      </c>
      <c r="F31" s="2">
        <v>1817</v>
      </c>
      <c r="G31" s="2">
        <v>2</v>
      </c>
      <c r="H31" s="2">
        <f t="shared" si="0"/>
        <v>12</v>
      </c>
      <c r="I31" s="2">
        <f t="shared" si="1"/>
        <v>21804</v>
      </c>
      <c r="J31" s="16">
        <f t="shared" si="2"/>
        <v>1090.2</v>
      </c>
      <c r="K31" s="2">
        <f t="shared" si="3"/>
        <v>20713.8</v>
      </c>
    </row>
    <row r="32" spans="1:17" ht="16.5" x14ac:dyDescent="0.3">
      <c r="A32" s="4">
        <v>43070</v>
      </c>
      <c r="B32" s="2" t="s">
        <v>25</v>
      </c>
      <c r="C32" s="2" t="s">
        <v>15</v>
      </c>
      <c r="D32" s="2" t="s">
        <v>29</v>
      </c>
      <c r="E32" s="16" t="s">
        <v>14</v>
      </c>
      <c r="F32" s="2">
        <v>1513</v>
      </c>
      <c r="G32" s="2">
        <v>40</v>
      </c>
      <c r="H32" s="2">
        <f t="shared" si="0"/>
        <v>60</v>
      </c>
      <c r="I32" s="2">
        <f t="shared" si="1"/>
        <v>90780</v>
      </c>
      <c r="J32" s="16">
        <f t="shared" si="2"/>
        <v>4539</v>
      </c>
      <c r="K32" s="2">
        <f t="shared" si="3"/>
        <v>86241</v>
      </c>
    </row>
    <row r="33" spans="1:11" ht="16.5" x14ac:dyDescent="0.3">
      <c r="A33" s="4">
        <v>42736</v>
      </c>
      <c r="B33" s="2" t="s">
        <v>11</v>
      </c>
      <c r="C33" s="2" t="s">
        <v>23</v>
      </c>
      <c r="D33" s="2" t="s">
        <v>20</v>
      </c>
      <c r="E33" s="16" t="s">
        <v>14</v>
      </c>
      <c r="F33" s="2">
        <v>1493</v>
      </c>
      <c r="G33" s="2">
        <v>5</v>
      </c>
      <c r="H33" s="2">
        <f t="shared" si="0"/>
        <v>25</v>
      </c>
      <c r="I33" s="2">
        <f t="shared" si="1"/>
        <v>37325</v>
      </c>
      <c r="J33" s="16">
        <f t="shared" si="2"/>
        <v>1866.25</v>
      </c>
      <c r="K33" s="2">
        <f t="shared" si="3"/>
        <v>35458.75</v>
      </c>
    </row>
    <row r="34" spans="1:11" ht="16.5" x14ac:dyDescent="0.3">
      <c r="A34" s="4">
        <v>42767</v>
      </c>
      <c r="B34" s="2" t="s">
        <v>27</v>
      </c>
      <c r="C34" s="2" t="s">
        <v>19</v>
      </c>
      <c r="D34" s="2" t="s">
        <v>16</v>
      </c>
      <c r="E34" s="16" t="s">
        <v>21</v>
      </c>
      <c r="F34" s="2">
        <v>1804</v>
      </c>
      <c r="G34" s="2">
        <v>4</v>
      </c>
      <c r="H34" s="2">
        <f t="shared" si="0"/>
        <v>7</v>
      </c>
      <c r="I34" s="2">
        <f t="shared" si="1"/>
        <v>12628</v>
      </c>
      <c r="J34" s="16">
        <f t="shared" si="2"/>
        <v>631.40000000000009</v>
      </c>
      <c r="K34" s="2">
        <f t="shared" si="3"/>
        <v>11996.6</v>
      </c>
    </row>
    <row r="35" spans="1:11" ht="16.5" x14ac:dyDescent="0.3">
      <c r="A35" s="4">
        <v>42795</v>
      </c>
      <c r="B35" s="2" t="s">
        <v>27</v>
      </c>
      <c r="C35" s="2" t="s">
        <v>15</v>
      </c>
      <c r="D35" s="2" t="s">
        <v>35</v>
      </c>
      <c r="E35" s="16" t="s">
        <v>21</v>
      </c>
      <c r="F35" s="2">
        <v>2161</v>
      </c>
      <c r="G35" s="2">
        <v>25</v>
      </c>
      <c r="H35" s="2">
        <f t="shared" si="0"/>
        <v>28</v>
      </c>
      <c r="I35" s="2">
        <f t="shared" si="1"/>
        <v>60508</v>
      </c>
      <c r="J35" s="16">
        <f t="shared" si="2"/>
        <v>3025.4</v>
      </c>
      <c r="K35" s="2">
        <f t="shared" si="3"/>
        <v>57482.6</v>
      </c>
    </row>
    <row r="36" spans="1:11" ht="16.5" x14ac:dyDescent="0.3">
      <c r="A36" s="4">
        <v>42887</v>
      </c>
      <c r="B36" s="2" t="s">
        <v>18</v>
      </c>
      <c r="C36" s="2" t="s">
        <v>15</v>
      </c>
      <c r="D36" s="2" t="s">
        <v>33</v>
      </c>
      <c r="E36" s="16" t="s">
        <v>17</v>
      </c>
      <c r="F36" s="2">
        <v>1006</v>
      </c>
      <c r="G36" s="2">
        <v>20</v>
      </c>
      <c r="H36" s="2">
        <f t="shared" si="0"/>
        <v>35</v>
      </c>
      <c r="I36" s="2">
        <f t="shared" si="1"/>
        <v>35210</v>
      </c>
      <c r="J36" s="16">
        <f t="shared" si="2"/>
        <v>1760.5</v>
      </c>
      <c r="K36" s="2">
        <f t="shared" si="3"/>
        <v>33449.5</v>
      </c>
    </row>
    <row r="37" spans="1:11" ht="16.5" x14ac:dyDescent="0.3">
      <c r="A37" s="4">
        <v>42887</v>
      </c>
      <c r="B37" s="2" t="s">
        <v>18</v>
      </c>
      <c r="C37" s="2" t="s">
        <v>15</v>
      </c>
      <c r="D37" s="2" t="s">
        <v>36</v>
      </c>
      <c r="E37" s="16" t="s">
        <v>17</v>
      </c>
      <c r="F37" s="2">
        <v>1545</v>
      </c>
      <c r="G37" s="2">
        <v>10</v>
      </c>
      <c r="H37" s="2">
        <f t="shared" si="0"/>
        <v>25</v>
      </c>
      <c r="I37" s="2">
        <f t="shared" si="1"/>
        <v>38625</v>
      </c>
      <c r="J37" s="16">
        <f t="shared" si="2"/>
        <v>1931.25</v>
      </c>
      <c r="K37" s="2">
        <f t="shared" si="3"/>
        <v>36693.75</v>
      </c>
    </row>
    <row r="38" spans="1:11" ht="16.5" x14ac:dyDescent="0.3">
      <c r="A38" s="4">
        <v>42948</v>
      </c>
      <c r="B38" s="2" t="s">
        <v>32</v>
      </c>
      <c r="C38" s="2" t="s">
        <v>34</v>
      </c>
      <c r="D38" s="2" t="s">
        <v>26</v>
      </c>
      <c r="E38" s="16" t="s">
        <v>21</v>
      </c>
      <c r="F38" s="2">
        <v>2821</v>
      </c>
      <c r="G38" s="2">
        <v>2</v>
      </c>
      <c r="H38" s="2">
        <f t="shared" si="0"/>
        <v>5</v>
      </c>
      <c r="I38" s="2">
        <f t="shared" si="1"/>
        <v>14105</v>
      </c>
      <c r="J38" s="16">
        <f t="shared" si="2"/>
        <v>705.25</v>
      </c>
      <c r="K38" s="2">
        <f t="shared" si="3"/>
        <v>13399.75</v>
      </c>
    </row>
    <row r="39" spans="1:11" ht="16.5" x14ac:dyDescent="0.3">
      <c r="A39" s="4">
        <v>43009</v>
      </c>
      <c r="B39" s="2" t="s">
        <v>11</v>
      </c>
      <c r="C39" s="2" t="s">
        <v>12</v>
      </c>
      <c r="D39" s="2" t="s">
        <v>16</v>
      </c>
      <c r="E39" s="16" t="s">
        <v>21</v>
      </c>
      <c r="F39" s="2">
        <v>345</v>
      </c>
      <c r="G39" s="2">
        <v>4</v>
      </c>
      <c r="H39" s="2">
        <f t="shared" si="0"/>
        <v>7</v>
      </c>
      <c r="I39" s="2">
        <f t="shared" si="1"/>
        <v>2415</v>
      </c>
      <c r="J39" s="16">
        <f t="shared" si="2"/>
        <v>120.75</v>
      </c>
      <c r="K39" s="2">
        <f t="shared" si="3"/>
        <v>2294.25</v>
      </c>
    </row>
    <row r="40" spans="1:11" ht="16.5" x14ac:dyDescent="0.3">
      <c r="A40" s="4">
        <v>42767</v>
      </c>
      <c r="B40" s="2" t="s">
        <v>27</v>
      </c>
      <c r="C40" s="2" t="s">
        <v>12</v>
      </c>
      <c r="D40" s="2" t="s">
        <v>28</v>
      </c>
      <c r="E40" s="16" t="s">
        <v>21</v>
      </c>
      <c r="F40" s="2">
        <v>2001</v>
      </c>
      <c r="G40" s="2">
        <v>120</v>
      </c>
      <c r="H40" s="2">
        <f t="shared" si="0"/>
        <v>123</v>
      </c>
      <c r="I40" s="2">
        <f t="shared" si="1"/>
        <v>246123</v>
      </c>
      <c r="J40" s="16">
        <f t="shared" si="2"/>
        <v>12306.150000000001</v>
      </c>
      <c r="K40" s="2">
        <f t="shared" si="3"/>
        <v>233816.85</v>
      </c>
    </row>
    <row r="41" spans="1:11" ht="16.5" x14ac:dyDescent="0.3">
      <c r="A41" s="4">
        <v>42826</v>
      </c>
      <c r="B41" s="2" t="s">
        <v>31</v>
      </c>
      <c r="C41" s="2" t="s">
        <v>15</v>
      </c>
      <c r="D41" s="2" t="s">
        <v>36</v>
      </c>
      <c r="E41" s="16" t="s">
        <v>24</v>
      </c>
      <c r="F41" s="2">
        <v>2838</v>
      </c>
      <c r="G41" s="2">
        <v>10</v>
      </c>
      <c r="H41" s="2">
        <f t="shared" si="0"/>
        <v>20</v>
      </c>
      <c r="I41" s="2">
        <f t="shared" si="1"/>
        <v>56760</v>
      </c>
      <c r="J41" s="16">
        <f t="shared" si="2"/>
        <v>2838</v>
      </c>
      <c r="K41" s="2">
        <f t="shared" si="3"/>
        <v>53922</v>
      </c>
    </row>
    <row r="42" spans="1:11" ht="16.5" x14ac:dyDescent="0.3">
      <c r="A42" s="4">
        <v>42887</v>
      </c>
      <c r="B42" s="2" t="s">
        <v>18</v>
      </c>
      <c r="C42" s="2" t="s">
        <v>19</v>
      </c>
      <c r="D42" s="2" t="s">
        <v>35</v>
      </c>
      <c r="E42" s="16" t="s">
        <v>14</v>
      </c>
      <c r="F42" s="2">
        <v>2178</v>
      </c>
      <c r="G42" s="2">
        <v>25</v>
      </c>
      <c r="H42" s="2">
        <f t="shared" si="0"/>
        <v>45</v>
      </c>
      <c r="I42" s="2">
        <f t="shared" si="1"/>
        <v>98010</v>
      </c>
      <c r="J42" s="16">
        <f t="shared" si="2"/>
        <v>4900.5</v>
      </c>
      <c r="K42" s="2">
        <f t="shared" si="3"/>
        <v>93109.5</v>
      </c>
    </row>
    <row r="43" spans="1:11" ht="16.5" x14ac:dyDescent="0.3">
      <c r="A43" s="4">
        <v>42887</v>
      </c>
      <c r="B43" s="2" t="s">
        <v>18</v>
      </c>
      <c r="C43" s="2" t="s">
        <v>15</v>
      </c>
      <c r="D43" s="2" t="s">
        <v>29</v>
      </c>
      <c r="E43" s="16" t="s">
        <v>14</v>
      </c>
      <c r="F43" s="2">
        <v>888</v>
      </c>
      <c r="G43" s="2">
        <v>40</v>
      </c>
      <c r="H43" s="2">
        <f t="shared" si="0"/>
        <v>60</v>
      </c>
      <c r="I43" s="2">
        <f t="shared" si="1"/>
        <v>53280</v>
      </c>
      <c r="J43" s="16">
        <f t="shared" si="2"/>
        <v>2664</v>
      </c>
      <c r="K43" s="2">
        <f t="shared" si="3"/>
        <v>50616</v>
      </c>
    </row>
    <row r="44" spans="1:11" ht="16.5" x14ac:dyDescent="0.3">
      <c r="A44" s="4">
        <v>42979</v>
      </c>
      <c r="B44" s="2" t="s">
        <v>25</v>
      </c>
      <c r="C44" s="2" t="s">
        <v>19</v>
      </c>
      <c r="D44" s="2" t="s">
        <v>26</v>
      </c>
      <c r="E44" s="16" t="s">
        <v>21</v>
      </c>
      <c r="F44" s="2">
        <v>1527</v>
      </c>
      <c r="G44" s="2">
        <v>2</v>
      </c>
      <c r="H44" s="2">
        <f t="shared" si="0"/>
        <v>5</v>
      </c>
      <c r="I44" s="2">
        <f t="shared" si="1"/>
        <v>7635</v>
      </c>
      <c r="J44" s="16">
        <f t="shared" si="2"/>
        <v>381.75</v>
      </c>
      <c r="K44" s="2">
        <f t="shared" si="3"/>
        <v>7253.25</v>
      </c>
    </row>
    <row r="45" spans="1:11" ht="16.5" x14ac:dyDescent="0.3">
      <c r="A45" s="4">
        <v>42979</v>
      </c>
      <c r="B45" s="2" t="s">
        <v>25</v>
      </c>
      <c r="C45" s="2" t="s">
        <v>19</v>
      </c>
      <c r="D45" s="2" t="s">
        <v>30</v>
      </c>
      <c r="E45" s="16" t="s">
        <v>21</v>
      </c>
      <c r="F45" s="2">
        <v>2151</v>
      </c>
      <c r="G45" s="2">
        <v>6</v>
      </c>
      <c r="H45" s="2">
        <f t="shared" si="0"/>
        <v>9</v>
      </c>
      <c r="I45" s="2">
        <f t="shared" si="1"/>
        <v>19359</v>
      </c>
      <c r="J45" s="16">
        <f t="shared" si="2"/>
        <v>967.95</v>
      </c>
      <c r="K45" s="2">
        <f t="shared" si="3"/>
        <v>18391.05</v>
      </c>
    </row>
    <row r="46" spans="1:11" ht="16.5" x14ac:dyDescent="0.3">
      <c r="A46" s="4">
        <v>43070</v>
      </c>
      <c r="B46" s="2" t="s">
        <v>25</v>
      </c>
      <c r="C46" s="2" t="s">
        <v>12</v>
      </c>
      <c r="D46" s="2" t="s">
        <v>35</v>
      </c>
      <c r="E46" s="16" t="s">
        <v>17</v>
      </c>
      <c r="F46" s="2">
        <v>1817</v>
      </c>
      <c r="G46" s="2">
        <v>25</v>
      </c>
      <c r="H46" s="2">
        <f t="shared" si="0"/>
        <v>40</v>
      </c>
      <c r="I46" s="2">
        <f t="shared" si="1"/>
        <v>72680</v>
      </c>
      <c r="J46" s="16">
        <f t="shared" si="2"/>
        <v>3634</v>
      </c>
      <c r="K46" s="2">
        <f t="shared" si="3"/>
        <v>69046</v>
      </c>
    </row>
    <row r="47" spans="1:11" ht="16.5" x14ac:dyDescent="0.3">
      <c r="A47" s="4">
        <v>42767</v>
      </c>
      <c r="B47" s="2" t="s">
        <v>27</v>
      </c>
      <c r="C47" s="2" t="s">
        <v>19</v>
      </c>
      <c r="D47" s="2" t="s">
        <v>16</v>
      </c>
      <c r="E47" s="16" t="s">
        <v>17</v>
      </c>
      <c r="F47" s="2">
        <v>2750</v>
      </c>
      <c r="G47" s="2">
        <v>4</v>
      </c>
      <c r="H47" s="2">
        <f t="shared" si="0"/>
        <v>19</v>
      </c>
      <c r="I47" s="2">
        <f t="shared" si="1"/>
        <v>52250</v>
      </c>
      <c r="J47" s="16">
        <f t="shared" si="2"/>
        <v>2612.5</v>
      </c>
      <c r="K47" s="2">
        <f t="shared" si="3"/>
        <v>49637.5</v>
      </c>
    </row>
    <row r="48" spans="1:11" ht="16.5" x14ac:dyDescent="0.3">
      <c r="A48" s="4">
        <v>42826</v>
      </c>
      <c r="B48" s="2" t="s">
        <v>31</v>
      </c>
      <c r="C48" s="2" t="s">
        <v>34</v>
      </c>
      <c r="D48" s="2" t="s">
        <v>20</v>
      </c>
      <c r="E48" s="16" t="s">
        <v>21</v>
      </c>
      <c r="F48" s="2">
        <v>1953</v>
      </c>
      <c r="G48" s="2">
        <v>5</v>
      </c>
      <c r="H48" s="2">
        <f t="shared" si="0"/>
        <v>8</v>
      </c>
      <c r="I48" s="2">
        <f t="shared" si="1"/>
        <v>15624</v>
      </c>
      <c r="J48" s="16">
        <f t="shared" si="2"/>
        <v>781.2</v>
      </c>
      <c r="K48" s="2">
        <f t="shared" si="3"/>
        <v>14842.8</v>
      </c>
    </row>
    <row r="49" spans="1:11" ht="16.5" x14ac:dyDescent="0.3">
      <c r="A49" s="4">
        <v>42826</v>
      </c>
      <c r="B49" s="2" t="s">
        <v>31</v>
      </c>
      <c r="C49" s="2" t="s">
        <v>15</v>
      </c>
      <c r="D49" s="2" t="s">
        <v>30</v>
      </c>
      <c r="E49" s="16" t="s">
        <v>21</v>
      </c>
      <c r="F49" s="2">
        <v>4219.5</v>
      </c>
      <c r="G49" s="2">
        <v>6</v>
      </c>
      <c r="H49" s="2">
        <f t="shared" si="0"/>
        <v>9</v>
      </c>
      <c r="I49" s="2">
        <f t="shared" si="1"/>
        <v>37975.5</v>
      </c>
      <c r="J49" s="16">
        <f t="shared" si="2"/>
        <v>1898.7750000000001</v>
      </c>
      <c r="K49" s="2">
        <f t="shared" si="3"/>
        <v>36076.724999999999</v>
      </c>
    </row>
    <row r="50" spans="1:11" ht="16.5" x14ac:dyDescent="0.3">
      <c r="A50" s="4">
        <v>42887</v>
      </c>
      <c r="B50" s="2" t="s">
        <v>18</v>
      </c>
      <c r="C50" s="2" t="s">
        <v>19</v>
      </c>
      <c r="D50" s="2" t="s">
        <v>20</v>
      </c>
      <c r="E50" s="16" t="s">
        <v>21</v>
      </c>
      <c r="F50" s="2">
        <v>1899</v>
      </c>
      <c r="G50" s="2">
        <v>5</v>
      </c>
      <c r="H50" s="2">
        <f t="shared" si="0"/>
        <v>8</v>
      </c>
      <c r="I50" s="2">
        <f t="shared" si="1"/>
        <v>15192</v>
      </c>
      <c r="J50" s="16">
        <f t="shared" si="2"/>
        <v>759.6</v>
      </c>
      <c r="K50" s="2">
        <f t="shared" si="3"/>
        <v>14432.4</v>
      </c>
    </row>
    <row r="51" spans="1:11" ht="16.5" x14ac:dyDescent="0.3">
      <c r="A51" s="4">
        <v>42917</v>
      </c>
      <c r="B51" s="2" t="s">
        <v>31</v>
      </c>
      <c r="C51" s="2" t="s">
        <v>15</v>
      </c>
      <c r="D51" s="2" t="s">
        <v>29</v>
      </c>
      <c r="E51" s="16" t="s">
        <v>21</v>
      </c>
      <c r="F51" s="2">
        <v>1686</v>
      </c>
      <c r="G51" s="2">
        <v>40</v>
      </c>
      <c r="H51" s="2">
        <f t="shared" si="0"/>
        <v>43</v>
      </c>
      <c r="I51" s="2">
        <f t="shared" si="1"/>
        <v>72498</v>
      </c>
      <c r="J51" s="16">
        <f t="shared" si="2"/>
        <v>3624.9</v>
      </c>
      <c r="K51" s="2">
        <f t="shared" si="3"/>
        <v>68873.100000000006</v>
      </c>
    </row>
    <row r="52" spans="1:11" ht="16.5" x14ac:dyDescent="0.3">
      <c r="A52" s="4">
        <v>42948</v>
      </c>
      <c r="B52" s="2" t="s">
        <v>32</v>
      </c>
      <c r="C52" s="2" t="s">
        <v>34</v>
      </c>
      <c r="D52" s="2" t="s">
        <v>13</v>
      </c>
      <c r="E52" s="16" t="s">
        <v>24</v>
      </c>
      <c r="F52" s="2">
        <v>2141</v>
      </c>
      <c r="G52" s="2">
        <v>30</v>
      </c>
      <c r="H52" s="2">
        <f t="shared" si="0"/>
        <v>40</v>
      </c>
      <c r="I52" s="2">
        <f t="shared" si="1"/>
        <v>85640</v>
      </c>
      <c r="J52" s="16">
        <f t="shared" si="2"/>
        <v>4282</v>
      </c>
      <c r="K52" s="2">
        <f t="shared" si="3"/>
        <v>81358</v>
      </c>
    </row>
    <row r="53" spans="1:11" ht="16.5" x14ac:dyDescent="0.3">
      <c r="A53" s="4">
        <v>43009</v>
      </c>
      <c r="B53" s="2" t="s">
        <v>11</v>
      </c>
      <c r="C53" s="2" t="s">
        <v>34</v>
      </c>
      <c r="D53" s="2" t="s">
        <v>30</v>
      </c>
      <c r="E53" s="16" t="s">
        <v>14</v>
      </c>
      <c r="F53" s="2">
        <v>1143</v>
      </c>
      <c r="G53" s="2">
        <v>6</v>
      </c>
      <c r="H53" s="2">
        <f t="shared" si="0"/>
        <v>26</v>
      </c>
      <c r="I53" s="2">
        <f t="shared" si="1"/>
        <v>29718</v>
      </c>
      <c r="J53" s="16">
        <f t="shared" si="2"/>
        <v>1485.9</v>
      </c>
      <c r="K53" s="2">
        <f t="shared" si="3"/>
        <v>28232.1</v>
      </c>
    </row>
    <row r="54" spans="1:11" ht="16.5" x14ac:dyDescent="0.3">
      <c r="A54" s="4">
        <v>43070</v>
      </c>
      <c r="B54" s="2" t="s">
        <v>25</v>
      </c>
      <c r="C54" s="2" t="s">
        <v>34</v>
      </c>
      <c r="D54" s="2" t="s">
        <v>28</v>
      </c>
      <c r="E54" s="16" t="s">
        <v>14</v>
      </c>
      <c r="F54" s="2">
        <v>615</v>
      </c>
      <c r="G54" s="2">
        <v>120</v>
      </c>
      <c r="H54" s="2">
        <f t="shared" si="0"/>
        <v>140</v>
      </c>
      <c r="I54" s="2">
        <f t="shared" si="1"/>
        <v>86100</v>
      </c>
      <c r="J54" s="16">
        <f t="shared" si="2"/>
        <v>4305</v>
      </c>
      <c r="K54" s="2">
        <f t="shared" si="3"/>
        <v>81795</v>
      </c>
    </row>
    <row r="55" spans="1:11" ht="16.5" x14ac:dyDescent="0.3">
      <c r="A55" s="4">
        <v>42736</v>
      </c>
      <c r="B55" s="2" t="s">
        <v>11</v>
      </c>
      <c r="C55" s="2" t="s">
        <v>19</v>
      </c>
      <c r="D55" s="2" t="s">
        <v>36</v>
      </c>
      <c r="E55" s="16" t="s">
        <v>21</v>
      </c>
      <c r="F55" s="2">
        <v>3945</v>
      </c>
      <c r="G55" s="2">
        <v>10</v>
      </c>
      <c r="H55" s="2">
        <f t="shared" si="0"/>
        <v>13</v>
      </c>
      <c r="I55" s="2">
        <f t="shared" si="1"/>
        <v>51285</v>
      </c>
      <c r="J55" s="16">
        <f t="shared" si="2"/>
        <v>2564.25</v>
      </c>
      <c r="K55" s="2">
        <f t="shared" si="3"/>
        <v>48720.75</v>
      </c>
    </row>
    <row r="56" spans="1:11" ht="16.5" x14ac:dyDescent="0.3">
      <c r="A56" s="4">
        <v>42767</v>
      </c>
      <c r="B56" s="2" t="s">
        <v>27</v>
      </c>
      <c r="C56" s="2" t="s">
        <v>19</v>
      </c>
      <c r="D56" s="2" t="s">
        <v>35</v>
      </c>
      <c r="E56" s="16" t="s">
        <v>21</v>
      </c>
      <c r="F56" s="2">
        <v>2296</v>
      </c>
      <c r="G56" s="2">
        <v>25</v>
      </c>
      <c r="H56" s="2">
        <f t="shared" si="0"/>
        <v>28</v>
      </c>
      <c r="I56" s="2">
        <f t="shared" si="1"/>
        <v>64288</v>
      </c>
      <c r="J56" s="16">
        <f t="shared" si="2"/>
        <v>3214.4</v>
      </c>
      <c r="K56" s="2">
        <f t="shared" si="3"/>
        <v>61073.599999999999</v>
      </c>
    </row>
    <row r="57" spans="1:11" ht="16.5" x14ac:dyDescent="0.3">
      <c r="A57" s="4">
        <v>42856</v>
      </c>
      <c r="B57" s="2" t="s">
        <v>37</v>
      </c>
      <c r="C57" s="2" t="s">
        <v>19</v>
      </c>
      <c r="D57" s="2" t="s">
        <v>33</v>
      </c>
      <c r="E57" s="16" t="s">
        <v>17</v>
      </c>
      <c r="F57" s="2">
        <v>1030</v>
      </c>
      <c r="G57" s="2">
        <v>20</v>
      </c>
      <c r="H57" s="2">
        <f t="shared" si="0"/>
        <v>35</v>
      </c>
      <c r="I57" s="2">
        <f t="shared" si="1"/>
        <v>36050</v>
      </c>
      <c r="J57" s="16">
        <f t="shared" si="2"/>
        <v>1802.5</v>
      </c>
      <c r="K57" s="2">
        <f t="shared" si="3"/>
        <v>34247.5</v>
      </c>
    </row>
    <row r="58" spans="1:11" ht="16.5" x14ac:dyDescent="0.3">
      <c r="A58" s="4">
        <v>43040</v>
      </c>
      <c r="B58" s="2" t="s">
        <v>27</v>
      </c>
      <c r="C58" s="2" t="s">
        <v>19</v>
      </c>
      <c r="D58" s="2" t="s">
        <v>13</v>
      </c>
      <c r="E58" s="16" t="s">
        <v>17</v>
      </c>
      <c r="F58" s="2">
        <v>639</v>
      </c>
      <c r="G58" s="2">
        <v>30</v>
      </c>
      <c r="H58" s="2">
        <f t="shared" si="0"/>
        <v>45</v>
      </c>
      <c r="I58" s="2">
        <f t="shared" si="1"/>
        <v>28755</v>
      </c>
      <c r="J58" s="16">
        <f t="shared" si="2"/>
        <v>1437.75</v>
      </c>
      <c r="K58" s="2">
        <f t="shared" si="3"/>
        <v>27317.25</v>
      </c>
    </row>
    <row r="59" spans="1:11" ht="16.5" x14ac:dyDescent="0.3">
      <c r="A59" s="4">
        <v>42795</v>
      </c>
      <c r="B59" s="2" t="s">
        <v>27</v>
      </c>
      <c r="C59" s="2" t="s">
        <v>12</v>
      </c>
      <c r="D59" s="2" t="s">
        <v>29</v>
      </c>
      <c r="E59" s="16" t="s">
        <v>21</v>
      </c>
      <c r="F59" s="2">
        <v>1326</v>
      </c>
      <c r="G59" s="2">
        <v>40</v>
      </c>
      <c r="H59" s="2">
        <f t="shared" si="0"/>
        <v>43</v>
      </c>
      <c r="I59" s="2">
        <f t="shared" si="1"/>
        <v>57018</v>
      </c>
      <c r="J59" s="16">
        <f t="shared" si="2"/>
        <v>2850.9</v>
      </c>
      <c r="K59" s="2">
        <f t="shared" si="3"/>
        <v>54167.1</v>
      </c>
    </row>
    <row r="60" spans="1:11" ht="16.5" x14ac:dyDescent="0.3">
      <c r="A60" s="4">
        <v>42767</v>
      </c>
      <c r="B60" s="2" t="s">
        <v>27</v>
      </c>
      <c r="C60" s="2" t="s">
        <v>34</v>
      </c>
      <c r="D60" s="2" t="s">
        <v>22</v>
      </c>
      <c r="E60" s="16" t="s">
        <v>21</v>
      </c>
      <c r="F60" s="2">
        <v>1858</v>
      </c>
      <c r="G60" s="2">
        <v>3</v>
      </c>
      <c r="H60" s="2">
        <f t="shared" si="0"/>
        <v>6</v>
      </c>
      <c r="I60" s="2">
        <f t="shared" si="1"/>
        <v>11148</v>
      </c>
      <c r="J60" s="16">
        <f t="shared" si="2"/>
        <v>557.4</v>
      </c>
      <c r="K60" s="2">
        <f t="shared" si="3"/>
        <v>10590.6</v>
      </c>
    </row>
    <row r="61" spans="1:11" ht="16.5" x14ac:dyDescent="0.3">
      <c r="A61" s="4">
        <v>42795</v>
      </c>
      <c r="B61" s="2" t="s">
        <v>27</v>
      </c>
      <c r="C61" s="2" t="s">
        <v>23</v>
      </c>
      <c r="D61" s="2" t="s">
        <v>35</v>
      </c>
      <c r="E61" s="16" t="s">
        <v>21</v>
      </c>
      <c r="F61" s="2">
        <v>1210</v>
      </c>
      <c r="G61" s="2">
        <v>25</v>
      </c>
      <c r="H61" s="2">
        <f t="shared" si="0"/>
        <v>28</v>
      </c>
      <c r="I61" s="2">
        <f t="shared" si="1"/>
        <v>33880</v>
      </c>
      <c r="J61" s="16">
        <f t="shared" si="2"/>
        <v>1694</v>
      </c>
      <c r="K61" s="2">
        <f t="shared" si="3"/>
        <v>32186</v>
      </c>
    </row>
    <row r="62" spans="1:11" ht="16.5" x14ac:dyDescent="0.3">
      <c r="A62" s="4">
        <v>42917</v>
      </c>
      <c r="B62" s="2" t="s">
        <v>31</v>
      </c>
      <c r="C62" s="2" t="s">
        <v>34</v>
      </c>
      <c r="D62" s="2" t="s">
        <v>16</v>
      </c>
      <c r="E62" s="16" t="s">
        <v>24</v>
      </c>
      <c r="F62" s="2">
        <v>2529</v>
      </c>
      <c r="G62" s="2">
        <v>4</v>
      </c>
      <c r="H62" s="2">
        <f t="shared" si="0"/>
        <v>14</v>
      </c>
      <c r="I62" s="2">
        <f t="shared" si="1"/>
        <v>35406</v>
      </c>
      <c r="J62" s="16">
        <f t="shared" si="2"/>
        <v>1770.3000000000002</v>
      </c>
      <c r="K62" s="2">
        <f t="shared" si="3"/>
        <v>33635.699999999997</v>
      </c>
    </row>
    <row r="63" spans="1:11" ht="16.5" x14ac:dyDescent="0.3">
      <c r="A63" s="4">
        <v>42979</v>
      </c>
      <c r="B63" s="2" t="s">
        <v>25</v>
      </c>
      <c r="C63" s="2" t="s">
        <v>12</v>
      </c>
      <c r="D63" s="2" t="s">
        <v>30</v>
      </c>
      <c r="E63" s="16" t="s">
        <v>14</v>
      </c>
      <c r="F63" s="2">
        <v>1445</v>
      </c>
      <c r="G63" s="2">
        <v>6</v>
      </c>
      <c r="H63" s="2">
        <f t="shared" si="0"/>
        <v>26</v>
      </c>
      <c r="I63" s="2">
        <f t="shared" si="1"/>
        <v>37570</v>
      </c>
      <c r="J63" s="16">
        <f t="shared" si="2"/>
        <v>1878.5</v>
      </c>
      <c r="K63" s="2">
        <f t="shared" si="3"/>
        <v>35691.5</v>
      </c>
    </row>
    <row r="64" spans="1:11" ht="16.5" x14ac:dyDescent="0.3">
      <c r="A64" s="4">
        <v>42979</v>
      </c>
      <c r="B64" s="2" t="s">
        <v>25</v>
      </c>
      <c r="C64" s="2" t="s">
        <v>34</v>
      </c>
      <c r="D64" s="2" t="s">
        <v>36</v>
      </c>
      <c r="E64" s="16" t="s">
        <v>14</v>
      </c>
      <c r="F64" s="2">
        <v>330</v>
      </c>
      <c r="G64" s="2">
        <v>10</v>
      </c>
      <c r="H64" s="2">
        <f t="shared" si="0"/>
        <v>30</v>
      </c>
      <c r="I64" s="2">
        <f t="shared" si="1"/>
        <v>9900</v>
      </c>
      <c r="J64" s="16">
        <f t="shared" si="2"/>
        <v>495</v>
      </c>
      <c r="K64" s="2">
        <f t="shared" si="3"/>
        <v>9405</v>
      </c>
    </row>
    <row r="65" spans="1:11" ht="16.5" x14ac:dyDescent="0.3">
      <c r="A65" s="4">
        <v>42979</v>
      </c>
      <c r="B65" s="2" t="s">
        <v>25</v>
      </c>
      <c r="C65" s="2" t="s">
        <v>19</v>
      </c>
      <c r="D65" s="2" t="s">
        <v>16</v>
      </c>
      <c r="E65" s="16" t="s">
        <v>21</v>
      </c>
      <c r="F65" s="2">
        <v>2671</v>
      </c>
      <c r="G65" s="2">
        <v>4</v>
      </c>
      <c r="H65" s="2">
        <f t="shared" si="0"/>
        <v>7</v>
      </c>
      <c r="I65" s="2">
        <f t="shared" si="1"/>
        <v>18697</v>
      </c>
      <c r="J65" s="16">
        <f t="shared" si="2"/>
        <v>934.85</v>
      </c>
      <c r="K65" s="2">
        <f t="shared" si="3"/>
        <v>17762.150000000001</v>
      </c>
    </row>
    <row r="66" spans="1:11" ht="16.5" x14ac:dyDescent="0.3">
      <c r="A66" s="4">
        <v>43009</v>
      </c>
      <c r="B66" s="2" t="s">
        <v>11</v>
      </c>
      <c r="C66" s="2" t="s">
        <v>15</v>
      </c>
      <c r="D66" s="2" t="s">
        <v>33</v>
      </c>
      <c r="E66" s="16" t="s">
        <v>21</v>
      </c>
      <c r="F66" s="2">
        <v>766</v>
      </c>
      <c r="G66" s="2">
        <v>20</v>
      </c>
      <c r="H66" s="2">
        <f t="shared" si="0"/>
        <v>23</v>
      </c>
      <c r="I66" s="2">
        <f t="shared" si="1"/>
        <v>17618</v>
      </c>
      <c r="J66" s="16">
        <f t="shared" si="2"/>
        <v>880.90000000000009</v>
      </c>
      <c r="K66" s="2">
        <f t="shared" si="3"/>
        <v>16737.099999999999</v>
      </c>
    </row>
    <row r="67" spans="1:11" ht="16.5" x14ac:dyDescent="0.3">
      <c r="A67" s="4">
        <v>43009</v>
      </c>
      <c r="B67" s="2" t="s">
        <v>11</v>
      </c>
      <c r="C67" s="2" t="s">
        <v>23</v>
      </c>
      <c r="D67" s="2" t="s">
        <v>22</v>
      </c>
      <c r="E67" s="16" t="s">
        <v>17</v>
      </c>
      <c r="F67" s="2">
        <v>494</v>
      </c>
      <c r="G67" s="2">
        <v>3</v>
      </c>
      <c r="H67" s="2">
        <f t="shared" ref="H67:H130" si="4">IF(E67="High",G67+20,IF(E67="Medium",G67+15,IF(E67="Low",G67+10,G67+3)))</f>
        <v>18</v>
      </c>
      <c r="I67" s="2">
        <f t="shared" ref="I67:I130" si="5">F67*H67</f>
        <v>8892</v>
      </c>
      <c r="J67" s="16">
        <f t="shared" ref="J67:J130" si="6">IF(AND(D67="Note Book",F67&gt;2500),I67*12%,IF(AND(E67="Long Note Book",N67&lt;1800),I67*8%,I67*5%))</f>
        <v>444.6</v>
      </c>
      <c r="K67" s="2">
        <f t="shared" ref="K67:K130" si="7">I67-J67</f>
        <v>8447.4</v>
      </c>
    </row>
    <row r="68" spans="1:11" ht="16.5" x14ac:dyDescent="0.3">
      <c r="A68" s="4">
        <v>43009</v>
      </c>
      <c r="B68" s="2" t="s">
        <v>11</v>
      </c>
      <c r="C68" s="2" t="s">
        <v>23</v>
      </c>
      <c r="D68" s="2" t="s">
        <v>20</v>
      </c>
      <c r="E68" s="16" t="s">
        <v>17</v>
      </c>
      <c r="F68" s="2">
        <v>1397</v>
      </c>
      <c r="G68" s="2">
        <v>5</v>
      </c>
      <c r="H68" s="2">
        <f t="shared" si="4"/>
        <v>20</v>
      </c>
      <c r="I68" s="2">
        <f t="shared" si="5"/>
        <v>27940</v>
      </c>
      <c r="J68" s="16">
        <f t="shared" si="6"/>
        <v>1397</v>
      </c>
      <c r="K68" s="2">
        <f t="shared" si="7"/>
        <v>26543</v>
      </c>
    </row>
    <row r="69" spans="1:11" ht="16.5" x14ac:dyDescent="0.3">
      <c r="A69" s="4">
        <v>43070</v>
      </c>
      <c r="B69" s="2" t="s">
        <v>25</v>
      </c>
      <c r="C69" s="2" t="s">
        <v>19</v>
      </c>
      <c r="D69" s="2" t="s">
        <v>16</v>
      </c>
      <c r="E69" s="16" t="s">
        <v>21</v>
      </c>
      <c r="F69" s="2">
        <v>2155</v>
      </c>
      <c r="G69" s="2">
        <v>4</v>
      </c>
      <c r="H69" s="2">
        <f t="shared" si="4"/>
        <v>7</v>
      </c>
      <c r="I69" s="2">
        <f t="shared" si="5"/>
        <v>15085</v>
      </c>
      <c r="J69" s="16">
        <f t="shared" si="6"/>
        <v>754.25</v>
      </c>
      <c r="K69" s="2">
        <f t="shared" si="7"/>
        <v>14330.75</v>
      </c>
    </row>
    <row r="70" spans="1:11" ht="16.5" x14ac:dyDescent="0.3">
      <c r="A70" s="4">
        <v>42795</v>
      </c>
      <c r="B70" s="2" t="s">
        <v>27</v>
      </c>
      <c r="C70" s="2" t="s">
        <v>23</v>
      </c>
      <c r="D70" s="2" t="s">
        <v>30</v>
      </c>
      <c r="E70" s="16" t="s">
        <v>21</v>
      </c>
      <c r="F70" s="2">
        <v>2214</v>
      </c>
      <c r="G70" s="2">
        <v>6</v>
      </c>
      <c r="H70" s="2">
        <f t="shared" si="4"/>
        <v>9</v>
      </c>
      <c r="I70" s="2">
        <f t="shared" si="5"/>
        <v>19926</v>
      </c>
      <c r="J70" s="16">
        <f t="shared" si="6"/>
        <v>996.30000000000007</v>
      </c>
      <c r="K70" s="2">
        <f t="shared" si="7"/>
        <v>18929.7</v>
      </c>
    </row>
    <row r="71" spans="1:11" ht="16.5" x14ac:dyDescent="0.3">
      <c r="A71" s="4">
        <v>42826</v>
      </c>
      <c r="B71" s="2" t="s">
        <v>31</v>
      </c>
      <c r="C71" s="2" t="s">
        <v>34</v>
      </c>
      <c r="D71" s="2" t="s">
        <v>35</v>
      </c>
      <c r="E71" s="16" t="s">
        <v>21</v>
      </c>
      <c r="F71" s="2">
        <v>2301</v>
      </c>
      <c r="G71" s="2">
        <v>25</v>
      </c>
      <c r="H71" s="2">
        <f t="shared" si="4"/>
        <v>28</v>
      </c>
      <c r="I71" s="2">
        <f t="shared" si="5"/>
        <v>64428</v>
      </c>
      <c r="J71" s="16">
        <f t="shared" si="6"/>
        <v>3221.4</v>
      </c>
      <c r="K71" s="2">
        <f t="shared" si="7"/>
        <v>61206.6</v>
      </c>
    </row>
    <row r="72" spans="1:11" ht="16.5" x14ac:dyDescent="0.3">
      <c r="A72" s="4">
        <v>42917</v>
      </c>
      <c r="B72" s="2" t="s">
        <v>31</v>
      </c>
      <c r="C72" s="2" t="s">
        <v>19</v>
      </c>
      <c r="D72" s="2" t="s">
        <v>20</v>
      </c>
      <c r="E72" s="16" t="s">
        <v>21</v>
      </c>
      <c r="F72" s="2">
        <v>1375.5</v>
      </c>
      <c r="G72" s="2">
        <v>5</v>
      </c>
      <c r="H72" s="2">
        <f t="shared" si="4"/>
        <v>8</v>
      </c>
      <c r="I72" s="2">
        <f t="shared" si="5"/>
        <v>11004</v>
      </c>
      <c r="J72" s="16">
        <f t="shared" si="6"/>
        <v>550.20000000000005</v>
      </c>
      <c r="K72" s="2">
        <f t="shared" si="7"/>
        <v>10453.799999999999</v>
      </c>
    </row>
    <row r="73" spans="1:11" ht="16.5" x14ac:dyDescent="0.3">
      <c r="A73" s="4">
        <v>42948</v>
      </c>
      <c r="B73" s="2" t="s">
        <v>32</v>
      </c>
      <c r="C73" s="2" t="s">
        <v>12</v>
      </c>
      <c r="D73" s="2" t="s">
        <v>22</v>
      </c>
      <c r="E73" s="16" t="s">
        <v>24</v>
      </c>
      <c r="F73" s="2">
        <v>1830</v>
      </c>
      <c r="G73" s="2">
        <v>3</v>
      </c>
      <c r="H73" s="2">
        <f t="shared" si="4"/>
        <v>13</v>
      </c>
      <c r="I73" s="2">
        <f t="shared" si="5"/>
        <v>23790</v>
      </c>
      <c r="J73" s="16">
        <f t="shared" si="6"/>
        <v>1189.5</v>
      </c>
      <c r="K73" s="2">
        <f t="shared" si="7"/>
        <v>22600.5</v>
      </c>
    </row>
    <row r="74" spans="1:11" ht="16.5" x14ac:dyDescent="0.3">
      <c r="A74" s="4">
        <v>42979</v>
      </c>
      <c r="B74" s="2" t="s">
        <v>25</v>
      </c>
      <c r="C74" s="2" t="s">
        <v>34</v>
      </c>
      <c r="D74" s="2" t="s">
        <v>26</v>
      </c>
      <c r="E74" s="16" t="s">
        <v>14</v>
      </c>
      <c r="F74" s="2">
        <v>2498</v>
      </c>
      <c r="G74" s="2">
        <v>2</v>
      </c>
      <c r="H74" s="2">
        <f t="shared" si="4"/>
        <v>22</v>
      </c>
      <c r="I74" s="2">
        <f t="shared" si="5"/>
        <v>54956</v>
      </c>
      <c r="J74" s="16">
        <f t="shared" si="6"/>
        <v>2747.8</v>
      </c>
      <c r="K74" s="2">
        <f t="shared" si="7"/>
        <v>52208.2</v>
      </c>
    </row>
    <row r="75" spans="1:11" ht="16.5" x14ac:dyDescent="0.3">
      <c r="A75" s="4">
        <v>43009</v>
      </c>
      <c r="B75" s="2" t="s">
        <v>11</v>
      </c>
      <c r="C75" s="2" t="s">
        <v>34</v>
      </c>
      <c r="D75" s="2" t="s">
        <v>28</v>
      </c>
      <c r="E75" s="16" t="s">
        <v>14</v>
      </c>
      <c r="F75" s="2">
        <v>663</v>
      </c>
      <c r="G75" s="2">
        <v>120</v>
      </c>
      <c r="H75" s="2">
        <f t="shared" si="4"/>
        <v>140</v>
      </c>
      <c r="I75" s="2">
        <f t="shared" si="5"/>
        <v>92820</v>
      </c>
      <c r="J75" s="16">
        <f t="shared" si="6"/>
        <v>4641</v>
      </c>
      <c r="K75" s="2">
        <f t="shared" si="7"/>
        <v>88179</v>
      </c>
    </row>
    <row r="76" spans="1:11" ht="16.5" x14ac:dyDescent="0.3">
      <c r="A76" s="4">
        <v>42767</v>
      </c>
      <c r="B76" s="2" t="s">
        <v>27</v>
      </c>
      <c r="C76" s="2" t="s">
        <v>34</v>
      </c>
      <c r="D76" s="2" t="s">
        <v>26</v>
      </c>
      <c r="E76" s="16" t="s">
        <v>21</v>
      </c>
      <c r="F76" s="2">
        <v>1514</v>
      </c>
      <c r="G76" s="2">
        <v>2</v>
      </c>
      <c r="H76" s="2">
        <f t="shared" si="4"/>
        <v>5</v>
      </c>
      <c r="I76" s="2">
        <f t="shared" si="5"/>
        <v>7570</v>
      </c>
      <c r="J76" s="16">
        <f t="shared" si="6"/>
        <v>378.5</v>
      </c>
      <c r="K76" s="2">
        <f t="shared" si="7"/>
        <v>7191.5</v>
      </c>
    </row>
    <row r="77" spans="1:11" ht="16.5" x14ac:dyDescent="0.3">
      <c r="A77" s="4">
        <v>42826</v>
      </c>
      <c r="B77" s="2" t="s">
        <v>31</v>
      </c>
      <c r="C77" s="2" t="s">
        <v>34</v>
      </c>
      <c r="D77" s="2" t="s">
        <v>22</v>
      </c>
      <c r="E77" s="16" t="s">
        <v>21</v>
      </c>
      <c r="F77" s="2">
        <v>4492.5</v>
      </c>
      <c r="G77" s="2">
        <v>3</v>
      </c>
      <c r="H77" s="2">
        <f t="shared" si="4"/>
        <v>6</v>
      </c>
      <c r="I77" s="2">
        <f t="shared" si="5"/>
        <v>26955</v>
      </c>
      <c r="J77" s="16">
        <f t="shared" si="6"/>
        <v>1347.75</v>
      </c>
      <c r="K77" s="2">
        <f t="shared" si="7"/>
        <v>25607.25</v>
      </c>
    </row>
    <row r="78" spans="1:11" ht="16.5" x14ac:dyDescent="0.3">
      <c r="A78" s="4">
        <v>42887</v>
      </c>
      <c r="B78" s="2" t="s">
        <v>18</v>
      </c>
      <c r="C78" s="2" t="s">
        <v>34</v>
      </c>
      <c r="D78" s="2" t="s">
        <v>36</v>
      </c>
      <c r="E78" s="16" t="s">
        <v>17</v>
      </c>
      <c r="F78" s="2">
        <v>727</v>
      </c>
      <c r="G78" s="2">
        <v>10</v>
      </c>
      <c r="H78" s="2">
        <f t="shared" si="4"/>
        <v>25</v>
      </c>
      <c r="I78" s="2">
        <f t="shared" si="5"/>
        <v>18175</v>
      </c>
      <c r="J78" s="16">
        <f t="shared" si="6"/>
        <v>908.75</v>
      </c>
      <c r="K78" s="2">
        <f t="shared" si="7"/>
        <v>17266.25</v>
      </c>
    </row>
    <row r="79" spans="1:11" ht="16.5" x14ac:dyDescent="0.3">
      <c r="A79" s="4">
        <v>42887</v>
      </c>
      <c r="B79" s="2" t="s">
        <v>18</v>
      </c>
      <c r="C79" s="2" t="s">
        <v>19</v>
      </c>
      <c r="D79" s="2" t="s">
        <v>35</v>
      </c>
      <c r="E79" s="16" t="s">
        <v>17</v>
      </c>
      <c r="F79" s="2">
        <v>787</v>
      </c>
      <c r="G79" s="2">
        <v>25</v>
      </c>
      <c r="H79" s="2">
        <f t="shared" si="4"/>
        <v>40</v>
      </c>
      <c r="I79" s="2">
        <f t="shared" si="5"/>
        <v>31480</v>
      </c>
      <c r="J79" s="16">
        <f t="shared" si="6"/>
        <v>1574</v>
      </c>
      <c r="K79" s="2">
        <f t="shared" si="7"/>
        <v>29906</v>
      </c>
    </row>
    <row r="80" spans="1:11" ht="16.5" x14ac:dyDescent="0.3">
      <c r="A80" s="4">
        <v>42917</v>
      </c>
      <c r="B80" s="2" t="s">
        <v>31</v>
      </c>
      <c r="C80" s="2" t="s">
        <v>23</v>
      </c>
      <c r="D80" s="2" t="s">
        <v>26</v>
      </c>
      <c r="E80" s="16" t="s">
        <v>21</v>
      </c>
      <c r="F80" s="2">
        <v>1823</v>
      </c>
      <c r="G80" s="2">
        <v>2</v>
      </c>
      <c r="H80" s="2">
        <f t="shared" si="4"/>
        <v>5</v>
      </c>
      <c r="I80" s="2">
        <f t="shared" si="5"/>
        <v>9115</v>
      </c>
      <c r="J80" s="16">
        <f t="shared" si="6"/>
        <v>455.75</v>
      </c>
      <c r="K80" s="2">
        <f t="shared" si="7"/>
        <v>8659.25</v>
      </c>
    </row>
    <row r="81" spans="1:11" ht="16.5" x14ac:dyDescent="0.3">
      <c r="A81" s="4">
        <v>42979</v>
      </c>
      <c r="B81" s="2" t="s">
        <v>25</v>
      </c>
      <c r="C81" s="2" t="s">
        <v>15</v>
      </c>
      <c r="D81" s="2" t="s">
        <v>30</v>
      </c>
      <c r="E81" s="16" t="s">
        <v>21</v>
      </c>
      <c r="F81" s="2">
        <v>747</v>
      </c>
      <c r="G81" s="2">
        <v>6</v>
      </c>
      <c r="H81" s="2">
        <f t="shared" si="4"/>
        <v>9</v>
      </c>
      <c r="I81" s="2">
        <f t="shared" si="5"/>
        <v>6723</v>
      </c>
      <c r="J81" s="16">
        <f t="shared" si="6"/>
        <v>336.15000000000003</v>
      </c>
      <c r="K81" s="2">
        <f t="shared" si="7"/>
        <v>6386.85</v>
      </c>
    </row>
    <row r="82" spans="1:11" ht="16.5" x14ac:dyDescent="0.3">
      <c r="A82" s="4">
        <v>43009</v>
      </c>
      <c r="B82" s="2" t="s">
        <v>11</v>
      </c>
      <c r="C82" s="2" t="s">
        <v>15</v>
      </c>
      <c r="D82" s="2" t="s">
        <v>29</v>
      </c>
      <c r="E82" s="16" t="s">
        <v>21</v>
      </c>
      <c r="F82" s="2">
        <v>766</v>
      </c>
      <c r="G82" s="2">
        <v>40</v>
      </c>
      <c r="H82" s="2">
        <f t="shared" si="4"/>
        <v>43</v>
      </c>
      <c r="I82" s="2">
        <f t="shared" si="5"/>
        <v>32938</v>
      </c>
      <c r="J82" s="16">
        <f t="shared" si="6"/>
        <v>1646.9</v>
      </c>
      <c r="K82" s="2">
        <f t="shared" si="7"/>
        <v>31291.1</v>
      </c>
    </row>
    <row r="83" spans="1:11" ht="16.5" x14ac:dyDescent="0.3">
      <c r="A83" s="4">
        <v>43040</v>
      </c>
      <c r="B83" s="2" t="s">
        <v>27</v>
      </c>
      <c r="C83" s="2" t="s">
        <v>34</v>
      </c>
      <c r="D83" s="2" t="s">
        <v>30</v>
      </c>
      <c r="E83" s="16" t="s">
        <v>24</v>
      </c>
      <c r="F83" s="2">
        <v>2905</v>
      </c>
      <c r="G83" s="2">
        <v>6</v>
      </c>
      <c r="H83" s="2">
        <f t="shared" si="4"/>
        <v>16</v>
      </c>
      <c r="I83" s="2">
        <f t="shared" si="5"/>
        <v>46480</v>
      </c>
      <c r="J83" s="16">
        <f t="shared" si="6"/>
        <v>2324</v>
      </c>
      <c r="K83" s="2">
        <f t="shared" si="7"/>
        <v>44156</v>
      </c>
    </row>
    <row r="84" spans="1:11" ht="16.5" x14ac:dyDescent="0.3">
      <c r="A84" s="4">
        <v>43070</v>
      </c>
      <c r="B84" s="2" t="s">
        <v>25</v>
      </c>
      <c r="C84" s="2" t="s">
        <v>19</v>
      </c>
      <c r="D84" s="2" t="s">
        <v>35</v>
      </c>
      <c r="E84" s="16" t="s">
        <v>14</v>
      </c>
      <c r="F84" s="2">
        <v>2155</v>
      </c>
      <c r="G84" s="2">
        <v>25</v>
      </c>
      <c r="H84" s="2">
        <f t="shared" si="4"/>
        <v>45</v>
      </c>
      <c r="I84" s="2">
        <f t="shared" si="5"/>
        <v>96975</v>
      </c>
      <c r="J84" s="16">
        <f t="shared" si="6"/>
        <v>4848.75</v>
      </c>
      <c r="K84" s="2">
        <f t="shared" si="7"/>
        <v>92126.25</v>
      </c>
    </row>
    <row r="85" spans="1:11" ht="16.5" x14ac:dyDescent="0.3">
      <c r="A85" s="4">
        <v>42826</v>
      </c>
      <c r="B85" s="2" t="s">
        <v>31</v>
      </c>
      <c r="C85" s="2" t="s">
        <v>19</v>
      </c>
      <c r="D85" s="2" t="s">
        <v>33</v>
      </c>
      <c r="E85" s="16" t="s">
        <v>14</v>
      </c>
      <c r="F85" s="2">
        <v>3864</v>
      </c>
      <c r="G85" s="2">
        <v>20</v>
      </c>
      <c r="H85" s="2">
        <f t="shared" si="4"/>
        <v>40</v>
      </c>
      <c r="I85" s="2">
        <f t="shared" si="5"/>
        <v>154560</v>
      </c>
      <c r="J85" s="16">
        <f t="shared" si="6"/>
        <v>7728</v>
      </c>
      <c r="K85" s="2">
        <f t="shared" si="7"/>
        <v>146832</v>
      </c>
    </row>
    <row r="86" spans="1:11" ht="16.5" x14ac:dyDescent="0.3">
      <c r="A86" s="4">
        <v>42856</v>
      </c>
      <c r="B86" s="2" t="s">
        <v>37</v>
      </c>
      <c r="C86" s="2" t="s">
        <v>23</v>
      </c>
      <c r="D86" s="2" t="s">
        <v>28</v>
      </c>
      <c r="E86" s="16" t="s">
        <v>21</v>
      </c>
      <c r="F86" s="2">
        <v>362</v>
      </c>
      <c r="G86" s="2">
        <v>120</v>
      </c>
      <c r="H86" s="2">
        <f t="shared" si="4"/>
        <v>123</v>
      </c>
      <c r="I86" s="2">
        <f t="shared" si="5"/>
        <v>44526</v>
      </c>
      <c r="J86" s="16">
        <f t="shared" si="6"/>
        <v>2226.3000000000002</v>
      </c>
      <c r="K86" s="2">
        <f t="shared" si="7"/>
        <v>42299.7</v>
      </c>
    </row>
    <row r="87" spans="1:11" ht="16.5" x14ac:dyDescent="0.3">
      <c r="A87" s="4">
        <v>42948</v>
      </c>
      <c r="B87" s="2" t="s">
        <v>32</v>
      </c>
      <c r="C87" s="2" t="s">
        <v>12</v>
      </c>
      <c r="D87" s="2" t="s">
        <v>16</v>
      </c>
      <c r="E87" s="16" t="s">
        <v>21</v>
      </c>
      <c r="F87" s="2">
        <v>923</v>
      </c>
      <c r="G87" s="2">
        <v>4</v>
      </c>
      <c r="H87" s="2">
        <f t="shared" si="4"/>
        <v>7</v>
      </c>
      <c r="I87" s="2">
        <f t="shared" si="5"/>
        <v>6461</v>
      </c>
      <c r="J87" s="16">
        <f t="shared" si="6"/>
        <v>323.05</v>
      </c>
      <c r="K87" s="2">
        <f t="shared" si="7"/>
        <v>6137.95</v>
      </c>
    </row>
    <row r="88" spans="1:11" ht="16.5" x14ac:dyDescent="0.3">
      <c r="A88" s="4">
        <v>43009</v>
      </c>
      <c r="B88" s="2" t="s">
        <v>11</v>
      </c>
      <c r="C88" s="2" t="s">
        <v>34</v>
      </c>
      <c r="D88" s="2" t="s">
        <v>13</v>
      </c>
      <c r="E88" s="16" t="s">
        <v>17</v>
      </c>
      <c r="F88" s="2">
        <v>663</v>
      </c>
      <c r="G88" s="2">
        <v>30</v>
      </c>
      <c r="H88" s="2">
        <f t="shared" si="4"/>
        <v>45</v>
      </c>
      <c r="I88" s="2">
        <f t="shared" si="5"/>
        <v>29835</v>
      </c>
      <c r="J88" s="16">
        <f t="shared" si="6"/>
        <v>1491.75</v>
      </c>
      <c r="K88" s="2">
        <f t="shared" si="7"/>
        <v>28343.25</v>
      </c>
    </row>
    <row r="89" spans="1:11" ht="16.5" x14ac:dyDescent="0.3">
      <c r="A89" s="4">
        <v>43040</v>
      </c>
      <c r="B89" s="2" t="s">
        <v>27</v>
      </c>
      <c r="C89" s="2" t="s">
        <v>12</v>
      </c>
      <c r="D89" s="2" t="s">
        <v>29</v>
      </c>
      <c r="E89" s="16" t="s">
        <v>17</v>
      </c>
      <c r="F89" s="2">
        <v>2092</v>
      </c>
      <c r="G89" s="2">
        <v>40</v>
      </c>
      <c r="H89" s="2">
        <f t="shared" si="4"/>
        <v>55</v>
      </c>
      <c r="I89" s="2">
        <f t="shared" si="5"/>
        <v>115060</v>
      </c>
      <c r="J89" s="16">
        <f t="shared" si="6"/>
        <v>5753</v>
      </c>
      <c r="K89" s="2">
        <f t="shared" si="7"/>
        <v>109307</v>
      </c>
    </row>
    <row r="90" spans="1:11" ht="16.5" x14ac:dyDescent="0.3">
      <c r="A90" s="4">
        <v>42795</v>
      </c>
      <c r="B90" s="2" t="s">
        <v>27</v>
      </c>
      <c r="C90" s="2" t="s">
        <v>15</v>
      </c>
      <c r="D90" s="2" t="s">
        <v>22</v>
      </c>
      <c r="E90" s="16" t="s">
        <v>21</v>
      </c>
      <c r="F90" s="2">
        <v>263</v>
      </c>
      <c r="G90" s="2">
        <v>3</v>
      </c>
      <c r="H90" s="2">
        <f t="shared" si="4"/>
        <v>6</v>
      </c>
      <c r="I90" s="2">
        <f t="shared" si="5"/>
        <v>1578</v>
      </c>
      <c r="J90" s="16">
        <f t="shared" si="6"/>
        <v>78.900000000000006</v>
      </c>
      <c r="K90" s="2">
        <f t="shared" si="7"/>
        <v>1499.1</v>
      </c>
    </row>
    <row r="91" spans="1:11" ht="16.5" x14ac:dyDescent="0.3">
      <c r="A91" s="4">
        <v>42826</v>
      </c>
      <c r="B91" s="2" t="s">
        <v>31</v>
      </c>
      <c r="C91" s="2" t="s">
        <v>12</v>
      </c>
      <c r="D91" s="2" t="s">
        <v>26</v>
      </c>
      <c r="E91" s="16" t="s">
        <v>21</v>
      </c>
      <c r="F91" s="2">
        <v>943.5</v>
      </c>
      <c r="G91" s="2">
        <v>2</v>
      </c>
      <c r="H91" s="2">
        <f t="shared" si="4"/>
        <v>5</v>
      </c>
      <c r="I91" s="2">
        <f t="shared" si="5"/>
        <v>4717.5</v>
      </c>
      <c r="J91" s="16">
        <f t="shared" si="6"/>
        <v>235.875</v>
      </c>
      <c r="K91" s="2">
        <f t="shared" si="7"/>
        <v>4481.625</v>
      </c>
    </row>
    <row r="92" spans="1:11" ht="16.5" x14ac:dyDescent="0.3">
      <c r="A92" s="4">
        <v>42887</v>
      </c>
      <c r="B92" s="2" t="s">
        <v>18</v>
      </c>
      <c r="C92" s="2" t="s">
        <v>34</v>
      </c>
      <c r="D92" s="2" t="s">
        <v>16</v>
      </c>
      <c r="E92" s="16" t="s">
        <v>21</v>
      </c>
      <c r="F92" s="2">
        <v>727</v>
      </c>
      <c r="G92" s="2">
        <v>4</v>
      </c>
      <c r="H92" s="2">
        <f t="shared" si="4"/>
        <v>7</v>
      </c>
      <c r="I92" s="2">
        <f t="shared" si="5"/>
        <v>5089</v>
      </c>
      <c r="J92" s="16">
        <f t="shared" si="6"/>
        <v>254.45000000000002</v>
      </c>
      <c r="K92" s="2">
        <f t="shared" si="7"/>
        <v>4834.55</v>
      </c>
    </row>
    <row r="93" spans="1:11" ht="16.5" x14ac:dyDescent="0.3">
      <c r="A93" s="4">
        <v>42887</v>
      </c>
      <c r="B93" s="2" t="s">
        <v>18</v>
      </c>
      <c r="C93" s="2" t="s">
        <v>19</v>
      </c>
      <c r="D93" s="2" t="s">
        <v>26</v>
      </c>
      <c r="E93" s="16" t="s">
        <v>21</v>
      </c>
      <c r="F93" s="2">
        <v>787</v>
      </c>
      <c r="G93" s="2">
        <v>2</v>
      </c>
      <c r="H93" s="2">
        <f t="shared" si="4"/>
        <v>5</v>
      </c>
      <c r="I93" s="2">
        <f t="shared" si="5"/>
        <v>3935</v>
      </c>
      <c r="J93" s="16">
        <f t="shared" si="6"/>
        <v>196.75</v>
      </c>
      <c r="K93" s="2">
        <f t="shared" si="7"/>
        <v>3738.25</v>
      </c>
    </row>
    <row r="94" spans="1:11" ht="16.5" x14ac:dyDescent="0.3">
      <c r="A94" s="4">
        <v>42979</v>
      </c>
      <c r="B94" s="2" t="s">
        <v>25</v>
      </c>
      <c r="C94" s="2" t="s">
        <v>15</v>
      </c>
      <c r="D94" s="2" t="s">
        <v>20</v>
      </c>
      <c r="E94" s="16" t="s">
        <v>24</v>
      </c>
      <c r="F94" s="2">
        <v>986</v>
      </c>
      <c r="G94" s="2">
        <v>5</v>
      </c>
      <c r="H94" s="2">
        <f t="shared" si="4"/>
        <v>15</v>
      </c>
      <c r="I94" s="2">
        <f t="shared" si="5"/>
        <v>14790</v>
      </c>
      <c r="J94" s="16">
        <f t="shared" si="6"/>
        <v>739.5</v>
      </c>
      <c r="K94" s="2">
        <f t="shared" si="7"/>
        <v>14050.5</v>
      </c>
    </row>
    <row r="95" spans="1:11" ht="16.5" x14ac:dyDescent="0.3">
      <c r="A95" s="4">
        <v>43009</v>
      </c>
      <c r="B95" s="2" t="s">
        <v>11</v>
      </c>
      <c r="C95" s="2" t="s">
        <v>23</v>
      </c>
      <c r="D95" s="2" t="s">
        <v>29</v>
      </c>
      <c r="E95" s="16" t="s">
        <v>14</v>
      </c>
      <c r="F95" s="2">
        <v>494</v>
      </c>
      <c r="G95" s="2">
        <v>40</v>
      </c>
      <c r="H95" s="2">
        <f t="shared" si="4"/>
        <v>60</v>
      </c>
      <c r="I95" s="2">
        <f t="shared" si="5"/>
        <v>29640</v>
      </c>
      <c r="J95" s="16">
        <f t="shared" si="6"/>
        <v>1482</v>
      </c>
      <c r="K95" s="2">
        <f t="shared" si="7"/>
        <v>28158</v>
      </c>
    </row>
    <row r="96" spans="1:11" ht="16.5" x14ac:dyDescent="0.3">
      <c r="A96" s="4">
        <v>43009</v>
      </c>
      <c r="B96" s="2" t="s">
        <v>11</v>
      </c>
      <c r="C96" s="2" t="s">
        <v>23</v>
      </c>
      <c r="D96" s="2" t="s">
        <v>20</v>
      </c>
      <c r="E96" s="16" t="s">
        <v>14</v>
      </c>
      <c r="F96" s="2">
        <v>1397</v>
      </c>
      <c r="G96" s="2">
        <v>5</v>
      </c>
      <c r="H96" s="2">
        <f t="shared" si="4"/>
        <v>25</v>
      </c>
      <c r="I96" s="2">
        <f t="shared" si="5"/>
        <v>34925</v>
      </c>
      <c r="J96" s="16">
        <f t="shared" si="6"/>
        <v>1746.25</v>
      </c>
      <c r="K96" s="2">
        <f t="shared" si="7"/>
        <v>33178.75</v>
      </c>
    </row>
    <row r="97" spans="1:11" ht="16.5" x14ac:dyDescent="0.3">
      <c r="A97" s="4">
        <v>43040</v>
      </c>
      <c r="B97" s="2" t="s">
        <v>27</v>
      </c>
      <c r="C97" s="2" t="s">
        <v>19</v>
      </c>
      <c r="D97" s="2" t="s">
        <v>28</v>
      </c>
      <c r="E97" s="16" t="s">
        <v>21</v>
      </c>
      <c r="F97" s="2">
        <v>1744</v>
      </c>
      <c r="G97" s="2">
        <v>120</v>
      </c>
      <c r="H97" s="2">
        <f t="shared" si="4"/>
        <v>123</v>
      </c>
      <c r="I97" s="2">
        <f t="shared" si="5"/>
        <v>214512</v>
      </c>
      <c r="J97" s="16">
        <f t="shared" si="6"/>
        <v>10725.6</v>
      </c>
      <c r="K97" s="2">
        <f t="shared" si="7"/>
        <v>203786.4</v>
      </c>
    </row>
    <row r="98" spans="1:11" ht="16.5" x14ac:dyDescent="0.3">
      <c r="A98" s="4">
        <v>42979</v>
      </c>
      <c r="B98" s="2" t="s">
        <v>25</v>
      </c>
      <c r="C98" s="2" t="s">
        <v>34</v>
      </c>
      <c r="D98" s="2" t="s">
        <v>36</v>
      </c>
      <c r="E98" s="16" t="s">
        <v>21</v>
      </c>
      <c r="F98" s="2">
        <v>1989</v>
      </c>
      <c r="G98" s="2">
        <v>10</v>
      </c>
      <c r="H98" s="2">
        <f t="shared" si="4"/>
        <v>13</v>
      </c>
      <c r="I98" s="2">
        <f t="shared" si="5"/>
        <v>25857</v>
      </c>
      <c r="J98" s="16">
        <f t="shared" si="6"/>
        <v>1292.8500000000001</v>
      </c>
      <c r="K98" s="2">
        <f t="shared" si="7"/>
        <v>24564.15</v>
      </c>
    </row>
    <row r="99" spans="1:11" ht="16.5" x14ac:dyDescent="0.3">
      <c r="A99" s="4">
        <v>43040</v>
      </c>
      <c r="B99" s="2" t="s">
        <v>27</v>
      </c>
      <c r="C99" s="2" t="s">
        <v>19</v>
      </c>
      <c r="D99" s="2" t="s">
        <v>13</v>
      </c>
      <c r="E99" s="16" t="s">
        <v>17</v>
      </c>
      <c r="F99" s="2">
        <v>321</v>
      </c>
      <c r="G99" s="2">
        <v>30</v>
      </c>
      <c r="H99" s="2">
        <f t="shared" si="4"/>
        <v>45</v>
      </c>
      <c r="I99" s="2">
        <f t="shared" si="5"/>
        <v>14445</v>
      </c>
      <c r="J99" s="16">
        <f t="shared" si="6"/>
        <v>722.25</v>
      </c>
      <c r="K99" s="2">
        <f t="shared" si="7"/>
        <v>13722.75</v>
      </c>
    </row>
    <row r="100" spans="1:11" ht="16.5" x14ac:dyDescent="0.3">
      <c r="A100" s="4">
        <v>42826</v>
      </c>
      <c r="B100" s="2" t="s">
        <v>31</v>
      </c>
      <c r="C100" s="2" t="s">
        <v>12</v>
      </c>
      <c r="D100" s="2" t="s">
        <v>30</v>
      </c>
      <c r="E100" s="16" t="s">
        <v>17</v>
      </c>
      <c r="F100" s="2">
        <v>742.5</v>
      </c>
      <c r="G100" s="2">
        <v>6</v>
      </c>
      <c r="H100" s="2">
        <f t="shared" si="4"/>
        <v>21</v>
      </c>
      <c r="I100" s="2">
        <f t="shared" si="5"/>
        <v>15592.5</v>
      </c>
      <c r="J100" s="16">
        <f t="shared" si="6"/>
        <v>779.625</v>
      </c>
      <c r="K100" s="2">
        <f t="shared" si="7"/>
        <v>14812.875</v>
      </c>
    </row>
    <row r="101" spans="1:11" ht="16.5" x14ac:dyDescent="0.3">
      <c r="A101" s="4">
        <v>43009</v>
      </c>
      <c r="B101" s="2" t="s">
        <v>11</v>
      </c>
      <c r="C101" s="2" t="s">
        <v>12</v>
      </c>
      <c r="D101" s="2" t="s">
        <v>20</v>
      </c>
      <c r="E101" s="16" t="s">
        <v>21</v>
      </c>
      <c r="F101" s="2">
        <v>1295</v>
      </c>
      <c r="G101" s="2">
        <v>5</v>
      </c>
      <c r="H101" s="2">
        <f t="shared" si="4"/>
        <v>8</v>
      </c>
      <c r="I101" s="2">
        <f t="shared" si="5"/>
        <v>10360</v>
      </c>
      <c r="J101" s="16">
        <f t="shared" si="6"/>
        <v>518</v>
      </c>
      <c r="K101" s="2">
        <f t="shared" si="7"/>
        <v>9842</v>
      </c>
    </row>
    <row r="102" spans="1:11" ht="16.5" x14ac:dyDescent="0.3">
      <c r="A102" s="4">
        <v>43009</v>
      </c>
      <c r="B102" s="2" t="s">
        <v>11</v>
      </c>
      <c r="C102" s="2" t="s">
        <v>15</v>
      </c>
      <c r="D102" s="2" t="s">
        <v>30</v>
      </c>
      <c r="E102" s="16" t="s">
        <v>21</v>
      </c>
      <c r="F102" s="2">
        <v>214</v>
      </c>
      <c r="G102" s="2">
        <v>6</v>
      </c>
      <c r="H102" s="2">
        <f t="shared" si="4"/>
        <v>9</v>
      </c>
      <c r="I102" s="2">
        <f t="shared" si="5"/>
        <v>1926</v>
      </c>
      <c r="J102" s="16">
        <f t="shared" si="6"/>
        <v>96.300000000000011</v>
      </c>
      <c r="K102" s="2">
        <f t="shared" si="7"/>
        <v>1829.7</v>
      </c>
    </row>
    <row r="103" spans="1:11" ht="16.5" x14ac:dyDescent="0.3">
      <c r="A103" s="4">
        <v>43040</v>
      </c>
      <c r="B103" s="2" t="s">
        <v>27</v>
      </c>
      <c r="C103" s="2" t="s">
        <v>19</v>
      </c>
      <c r="D103" s="2" t="s">
        <v>33</v>
      </c>
      <c r="E103" s="16" t="s">
        <v>21</v>
      </c>
      <c r="F103" s="2">
        <v>2145</v>
      </c>
      <c r="G103" s="2">
        <v>20</v>
      </c>
      <c r="H103" s="2">
        <f t="shared" si="4"/>
        <v>23</v>
      </c>
      <c r="I103" s="2">
        <f t="shared" si="5"/>
        <v>49335</v>
      </c>
      <c r="J103" s="16">
        <f t="shared" si="6"/>
        <v>2466.75</v>
      </c>
      <c r="K103" s="2">
        <f t="shared" si="7"/>
        <v>46868.25</v>
      </c>
    </row>
    <row r="104" spans="1:11" ht="16.5" x14ac:dyDescent="0.3">
      <c r="A104" s="4">
        <v>43070</v>
      </c>
      <c r="B104" s="2" t="s">
        <v>25</v>
      </c>
      <c r="C104" s="2" t="s">
        <v>12</v>
      </c>
      <c r="D104" s="2" t="s">
        <v>30</v>
      </c>
      <c r="E104" s="16" t="s">
        <v>24</v>
      </c>
      <c r="F104" s="2">
        <v>2852</v>
      </c>
      <c r="G104" s="2">
        <v>6</v>
      </c>
      <c r="H104" s="2">
        <f t="shared" si="4"/>
        <v>16</v>
      </c>
      <c r="I104" s="2">
        <f t="shared" si="5"/>
        <v>45632</v>
      </c>
      <c r="J104" s="16">
        <f t="shared" si="6"/>
        <v>2281.6</v>
      </c>
      <c r="K104" s="2">
        <f t="shared" si="7"/>
        <v>43350.400000000001</v>
      </c>
    </row>
    <row r="105" spans="1:11" ht="16.5" x14ac:dyDescent="0.3">
      <c r="A105" s="4">
        <v>42887</v>
      </c>
      <c r="B105" s="2" t="s">
        <v>18</v>
      </c>
      <c r="C105" s="2" t="s">
        <v>34</v>
      </c>
      <c r="D105" s="2" t="s">
        <v>33</v>
      </c>
      <c r="E105" s="16" t="s">
        <v>14</v>
      </c>
      <c r="F105" s="2">
        <v>1142</v>
      </c>
      <c r="G105" s="2">
        <v>20</v>
      </c>
      <c r="H105" s="2">
        <f t="shared" si="4"/>
        <v>40</v>
      </c>
      <c r="I105" s="2">
        <f t="shared" si="5"/>
        <v>45680</v>
      </c>
      <c r="J105" s="16">
        <f t="shared" si="6"/>
        <v>2284</v>
      </c>
      <c r="K105" s="2">
        <f t="shared" si="7"/>
        <v>43396</v>
      </c>
    </row>
    <row r="106" spans="1:11" ht="16.5" x14ac:dyDescent="0.3">
      <c r="A106" s="4">
        <v>43009</v>
      </c>
      <c r="B106" s="2" t="s">
        <v>11</v>
      </c>
      <c r="C106" s="2" t="s">
        <v>34</v>
      </c>
      <c r="D106" s="2" t="s">
        <v>36</v>
      </c>
      <c r="E106" s="16" t="s">
        <v>14</v>
      </c>
      <c r="F106" s="2">
        <v>1566</v>
      </c>
      <c r="G106" s="2">
        <v>10</v>
      </c>
      <c r="H106" s="2">
        <f t="shared" si="4"/>
        <v>30</v>
      </c>
      <c r="I106" s="2">
        <f t="shared" si="5"/>
        <v>46980</v>
      </c>
      <c r="J106" s="16">
        <f t="shared" si="6"/>
        <v>2349</v>
      </c>
      <c r="K106" s="2">
        <f t="shared" si="7"/>
        <v>44631</v>
      </c>
    </row>
    <row r="107" spans="1:11" ht="16.5" x14ac:dyDescent="0.3">
      <c r="A107" s="4">
        <v>43040</v>
      </c>
      <c r="B107" s="2" t="s">
        <v>27</v>
      </c>
      <c r="C107" s="2" t="s">
        <v>23</v>
      </c>
      <c r="D107" s="2" t="s">
        <v>29</v>
      </c>
      <c r="E107" s="16" t="s">
        <v>21</v>
      </c>
      <c r="F107" s="2">
        <v>690</v>
      </c>
      <c r="G107" s="2">
        <v>40</v>
      </c>
      <c r="H107" s="2">
        <f t="shared" si="4"/>
        <v>43</v>
      </c>
      <c r="I107" s="2">
        <f t="shared" si="5"/>
        <v>29670</v>
      </c>
      <c r="J107" s="16">
        <f t="shared" si="6"/>
        <v>1483.5</v>
      </c>
      <c r="K107" s="2">
        <f t="shared" si="7"/>
        <v>28186.5</v>
      </c>
    </row>
    <row r="108" spans="1:11" ht="16.5" x14ac:dyDescent="0.3">
      <c r="A108" s="4">
        <v>43040</v>
      </c>
      <c r="B108" s="2" t="s">
        <v>27</v>
      </c>
      <c r="C108" s="2" t="s">
        <v>23</v>
      </c>
      <c r="D108" s="2" t="s">
        <v>33</v>
      </c>
      <c r="E108" s="16" t="s">
        <v>21</v>
      </c>
      <c r="F108" s="2">
        <v>1660</v>
      </c>
      <c r="G108" s="2">
        <v>20</v>
      </c>
      <c r="H108" s="2">
        <f t="shared" si="4"/>
        <v>23</v>
      </c>
      <c r="I108" s="2">
        <f t="shared" si="5"/>
        <v>38180</v>
      </c>
      <c r="J108" s="16">
        <f t="shared" si="6"/>
        <v>1909</v>
      </c>
      <c r="K108" s="2">
        <f t="shared" si="7"/>
        <v>36271</v>
      </c>
    </row>
    <row r="109" spans="1:11" ht="16.5" x14ac:dyDescent="0.3">
      <c r="A109" s="4">
        <v>42767</v>
      </c>
      <c r="B109" s="2" t="s">
        <v>27</v>
      </c>
      <c r="C109" s="2" t="s">
        <v>12</v>
      </c>
      <c r="D109" s="2" t="s">
        <v>22</v>
      </c>
      <c r="E109" s="16" t="s">
        <v>17</v>
      </c>
      <c r="F109" s="2">
        <v>2363</v>
      </c>
      <c r="G109" s="2">
        <v>3</v>
      </c>
      <c r="H109" s="2">
        <f t="shared" si="4"/>
        <v>18</v>
      </c>
      <c r="I109" s="2">
        <f t="shared" si="5"/>
        <v>42534</v>
      </c>
      <c r="J109" s="16">
        <f t="shared" si="6"/>
        <v>2126.7000000000003</v>
      </c>
      <c r="K109" s="2">
        <f t="shared" si="7"/>
        <v>40407.300000000003</v>
      </c>
    </row>
    <row r="110" spans="1:11" ht="16.5" x14ac:dyDescent="0.3">
      <c r="A110" s="4">
        <v>42856</v>
      </c>
      <c r="B110" s="2" t="s">
        <v>37</v>
      </c>
      <c r="C110" s="2" t="s">
        <v>19</v>
      </c>
      <c r="D110" s="2" t="s">
        <v>20</v>
      </c>
      <c r="E110" s="16" t="s">
        <v>17</v>
      </c>
      <c r="F110" s="2">
        <v>918</v>
      </c>
      <c r="G110" s="2">
        <v>5</v>
      </c>
      <c r="H110" s="2">
        <f t="shared" si="4"/>
        <v>20</v>
      </c>
      <c r="I110" s="2">
        <f t="shared" si="5"/>
        <v>18360</v>
      </c>
      <c r="J110" s="16">
        <f t="shared" si="6"/>
        <v>918</v>
      </c>
      <c r="K110" s="2">
        <f t="shared" si="7"/>
        <v>17442</v>
      </c>
    </row>
    <row r="111" spans="1:11" ht="16.5" x14ac:dyDescent="0.3">
      <c r="A111" s="4">
        <v>42856</v>
      </c>
      <c r="B111" s="2" t="s">
        <v>37</v>
      </c>
      <c r="C111" s="2" t="s">
        <v>15</v>
      </c>
      <c r="D111" s="2" t="s">
        <v>26</v>
      </c>
      <c r="E111" s="16" t="s">
        <v>21</v>
      </c>
      <c r="F111" s="2">
        <v>1728</v>
      </c>
      <c r="G111" s="2">
        <v>2</v>
      </c>
      <c r="H111" s="2">
        <f t="shared" si="4"/>
        <v>5</v>
      </c>
      <c r="I111" s="2">
        <f t="shared" si="5"/>
        <v>8640</v>
      </c>
      <c r="J111" s="16">
        <f t="shared" si="6"/>
        <v>432</v>
      </c>
      <c r="K111" s="2">
        <f t="shared" si="7"/>
        <v>8208</v>
      </c>
    </row>
    <row r="112" spans="1:11" ht="16.5" x14ac:dyDescent="0.3">
      <c r="A112" s="4">
        <v>42887</v>
      </c>
      <c r="B112" s="2" t="s">
        <v>18</v>
      </c>
      <c r="C112" s="2" t="s">
        <v>34</v>
      </c>
      <c r="D112" s="2" t="s">
        <v>30</v>
      </c>
      <c r="E112" s="16" t="s">
        <v>21</v>
      </c>
      <c r="F112" s="2">
        <v>1142</v>
      </c>
      <c r="G112" s="2">
        <v>6</v>
      </c>
      <c r="H112" s="2">
        <f t="shared" si="4"/>
        <v>9</v>
      </c>
      <c r="I112" s="2">
        <f t="shared" si="5"/>
        <v>10278</v>
      </c>
      <c r="J112" s="16">
        <f t="shared" si="6"/>
        <v>513.9</v>
      </c>
      <c r="K112" s="2">
        <f t="shared" si="7"/>
        <v>9764.1</v>
      </c>
    </row>
    <row r="113" spans="1:11" ht="16.5" x14ac:dyDescent="0.3">
      <c r="A113" s="4">
        <v>42887</v>
      </c>
      <c r="B113" s="2" t="s">
        <v>18</v>
      </c>
      <c r="C113" s="2" t="s">
        <v>23</v>
      </c>
      <c r="D113" s="2" t="s">
        <v>20</v>
      </c>
      <c r="E113" s="16" t="s">
        <v>21</v>
      </c>
      <c r="F113" s="2">
        <v>662</v>
      </c>
      <c r="G113" s="2">
        <v>5</v>
      </c>
      <c r="H113" s="2">
        <f t="shared" si="4"/>
        <v>8</v>
      </c>
      <c r="I113" s="2">
        <f t="shared" si="5"/>
        <v>5296</v>
      </c>
      <c r="J113" s="16">
        <f t="shared" si="6"/>
        <v>264.8</v>
      </c>
      <c r="K113" s="2">
        <f t="shared" si="7"/>
        <v>5031.2</v>
      </c>
    </row>
    <row r="114" spans="1:11" ht="16.5" x14ac:dyDescent="0.3">
      <c r="A114" s="4">
        <v>43009</v>
      </c>
      <c r="B114" s="2" t="s">
        <v>11</v>
      </c>
      <c r="C114" s="2" t="s">
        <v>12</v>
      </c>
      <c r="D114" s="2" t="s">
        <v>28</v>
      </c>
      <c r="E114" s="16" t="s">
        <v>21</v>
      </c>
      <c r="F114" s="2">
        <v>1295</v>
      </c>
      <c r="G114" s="2">
        <v>120</v>
      </c>
      <c r="H114" s="2">
        <f t="shared" si="4"/>
        <v>123</v>
      </c>
      <c r="I114" s="2">
        <f t="shared" si="5"/>
        <v>159285</v>
      </c>
      <c r="J114" s="16">
        <f t="shared" si="6"/>
        <v>7964.25</v>
      </c>
      <c r="K114" s="2">
        <f t="shared" si="7"/>
        <v>151320.75</v>
      </c>
    </row>
    <row r="115" spans="1:11" ht="16.5" x14ac:dyDescent="0.3">
      <c r="A115" s="4">
        <v>43009</v>
      </c>
      <c r="B115" s="2" t="s">
        <v>11</v>
      </c>
      <c r="C115" s="2" t="s">
        <v>15</v>
      </c>
      <c r="D115" s="2" t="s">
        <v>36</v>
      </c>
      <c r="E115" s="16" t="s">
        <v>24</v>
      </c>
      <c r="F115" s="2">
        <v>809</v>
      </c>
      <c r="G115" s="2">
        <v>10</v>
      </c>
      <c r="H115" s="2">
        <f t="shared" si="4"/>
        <v>20</v>
      </c>
      <c r="I115" s="2">
        <f t="shared" si="5"/>
        <v>16180</v>
      </c>
      <c r="J115" s="16">
        <f t="shared" si="6"/>
        <v>809</v>
      </c>
      <c r="K115" s="2">
        <f t="shared" si="7"/>
        <v>15371</v>
      </c>
    </row>
    <row r="116" spans="1:11" ht="16.5" x14ac:dyDescent="0.3">
      <c r="A116" s="4">
        <v>43009</v>
      </c>
      <c r="B116" s="2" t="s">
        <v>11</v>
      </c>
      <c r="C116" s="2" t="s">
        <v>23</v>
      </c>
      <c r="D116" s="2" t="s">
        <v>35</v>
      </c>
      <c r="E116" s="16" t="s">
        <v>14</v>
      </c>
      <c r="F116" s="2">
        <v>2145</v>
      </c>
      <c r="G116" s="2">
        <v>25</v>
      </c>
      <c r="H116" s="2">
        <f t="shared" si="4"/>
        <v>45</v>
      </c>
      <c r="I116" s="2">
        <f t="shared" si="5"/>
        <v>96525</v>
      </c>
      <c r="J116" s="16">
        <f t="shared" si="6"/>
        <v>4826.25</v>
      </c>
      <c r="K116" s="2">
        <f t="shared" si="7"/>
        <v>91698.75</v>
      </c>
    </row>
    <row r="117" spans="1:11" ht="16.5" x14ac:dyDescent="0.3">
      <c r="A117" s="4">
        <v>43040</v>
      </c>
      <c r="B117" s="2" t="s">
        <v>27</v>
      </c>
      <c r="C117" s="2" t="s">
        <v>19</v>
      </c>
      <c r="D117" s="2" t="s">
        <v>16</v>
      </c>
      <c r="E117" s="16" t="s">
        <v>14</v>
      </c>
      <c r="F117" s="2">
        <v>1785</v>
      </c>
      <c r="G117" s="2">
        <v>4</v>
      </c>
      <c r="H117" s="2">
        <f t="shared" si="4"/>
        <v>24</v>
      </c>
      <c r="I117" s="2">
        <f t="shared" si="5"/>
        <v>42840</v>
      </c>
      <c r="J117" s="16">
        <f t="shared" si="6"/>
        <v>2142</v>
      </c>
      <c r="K117" s="2">
        <f t="shared" si="7"/>
        <v>40698</v>
      </c>
    </row>
    <row r="118" spans="1:11" ht="16.5" x14ac:dyDescent="0.3">
      <c r="A118" s="4">
        <v>43070</v>
      </c>
      <c r="B118" s="2" t="s">
        <v>25</v>
      </c>
      <c r="C118" s="2" t="s">
        <v>12</v>
      </c>
      <c r="D118" s="2" t="s">
        <v>29</v>
      </c>
      <c r="E118" s="16" t="s">
        <v>21</v>
      </c>
      <c r="F118" s="2">
        <v>1916</v>
      </c>
      <c r="G118" s="2">
        <v>40</v>
      </c>
      <c r="H118" s="2">
        <f t="shared" si="4"/>
        <v>43</v>
      </c>
      <c r="I118" s="2">
        <f t="shared" si="5"/>
        <v>82388</v>
      </c>
      <c r="J118" s="16">
        <f t="shared" si="6"/>
        <v>4119.4000000000005</v>
      </c>
      <c r="K118" s="2">
        <f t="shared" si="7"/>
        <v>78268.600000000006</v>
      </c>
    </row>
    <row r="119" spans="1:11" ht="16.5" x14ac:dyDescent="0.3">
      <c r="A119" s="4">
        <v>43070</v>
      </c>
      <c r="B119" s="2" t="s">
        <v>25</v>
      </c>
      <c r="C119" s="2" t="s">
        <v>12</v>
      </c>
      <c r="D119" s="2" t="s">
        <v>13</v>
      </c>
      <c r="E119" s="16" t="s">
        <v>21</v>
      </c>
      <c r="F119" s="2">
        <v>2852</v>
      </c>
      <c r="G119" s="2">
        <v>30</v>
      </c>
      <c r="H119" s="2">
        <f t="shared" si="4"/>
        <v>33</v>
      </c>
      <c r="I119" s="2">
        <f t="shared" si="5"/>
        <v>94116</v>
      </c>
      <c r="J119" s="16">
        <f t="shared" si="6"/>
        <v>11293.92</v>
      </c>
      <c r="K119" s="2">
        <f t="shared" si="7"/>
        <v>82822.080000000002</v>
      </c>
    </row>
    <row r="120" spans="1:11" ht="16.5" x14ac:dyDescent="0.3">
      <c r="A120" s="4">
        <v>43070</v>
      </c>
      <c r="B120" s="2" t="s">
        <v>25</v>
      </c>
      <c r="C120" s="2" t="s">
        <v>12</v>
      </c>
      <c r="D120" s="2" t="s">
        <v>30</v>
      </c>
      <c r="E120" s="16" t="s">
        <v>17</v>
      </c>
      <c r="F120" s="2">
        <v>2729</v>
      </c>
      <c r="G120" s="2">
        <v>6</v>
      </c>
      <c r="H120" s="2">
        <f t="shared" si="4"/>
        <v>21</v>
      </c>
      <c r="I120" s="2">
        <f t="shared" si="5"/>
        <v>57309</v>
      </c>
      <c r="J120" s="16">
        <f t="shared" si="6"/>
        <v>2865.4500000000003</v>
      </c>
      <c r="K120" s="2">
        <f t="shared" si="7"/>
        <v>54443.55</v>
      </c>
    </row>
    <row r="121" spans="1:11" ht="16.5" x14ac:dyDescent="0.3">
      <c r="A121" s="4">
        <v>43070</v>
      </c>
      <c r="B121" s="2" t="s">
        <v>25</v>
      </c>
      <c r="C121" s="2" t="s">
        <v>34</v>
      </c>
      <c r="D121" s="2" t="s">
        <v>20</v>
      </c>
      <c r="E121" s="16" t="s">
        <v>17</v>
      </c>
      <c r="F121" s="2">
        <v>1925</v>
      </c>
      <c r="G121" s="2">
        <v>5</v>
      </c>
      <c r="H121" s="2">
        <f t="shared" si="4"/>
        <v>20</v>
      </c>
      <c r="I121" s="2">
        <f t="shared" si="5"/>
        <v>38500</v>
      </c>
      <c r="J121" s="16">
        <f t="shared" si="6"/>
        <v>1925</v>
      </c>
      <c r="K121" s="2">
        <f t="shared" si="7"/>
        <v>36575</v>
      </c>
    </row>
    <row r="122" spans="1:11" ht="16.5" x14ac:dyDescent="0.3">
      <c r="A122" s="4">
        <v>43070</v>
      </c>
      <c r="B122" s="2" t="s">
        <v>25</v>
      </c>
      <c r="C122" s="2" t="s">
        <v>34</v>
      </c>
      <c r="D122" s="2" t="s">
        <v>30</v>
      </c>
      <c r="E122" s="16" t="s">
        <v>21</v>
      </c>
      <c r="F122" s="2">
        <v>2013</v>
      </c>
      <c r="G122" s="2">
        <v>6</v>
      </c>
      <c r="H122" s="2">
        <f t="shared" si="4"/>
        <v>9</v>
      </c>
      <c r="I122" s="2">
        <f t="shared" si="5"/>
        <v>18117</v>
      </c>
      <c r="J122" s="16">
        <f t="shared" si="6"/>
        <v>905.85</v>
      </c>
      <c r="K122" s="2">
        <f t="shared" si="7"/>
        <v>17211.150000000001</v>
      </c>
    </row>
    <row r="123" spans="1:11" ht="16.5" x14ac:dyDescent="0.3">
      <c r="A123" s="4">
        <v>43070</v>
      </c>
      <c r="B123" s="2" t="s">
        <v>25</v>
      </c>
      <c r="C123" s="2" t="s">
        <v>19</v>
      </c>
      <c r="D123" s="2" t="s">
        <v>26</v>
      </c>
      <c r="E123" s="16" t="s">
        <v>21</v>
      </c>
      <c r="F123" s="2">
        <v>1055</v>
      </c>
      <c r="G123" s="2">
        <v>2</v>
      </c>
      <c r="H123" s="2">
        <f t="shared" si="4"/>
        <v>5</v>
      </c>
      <c r="I123" s="2">
        <f t="shared" si="5"/>
        <v>5275</v>
      </c>
      <c r="J123" s="16">
        <f t="shared" si="6"/>
        <v>263.75</v>
      </c>
      <c r="K123" s="2">
        <f t="shared" si="7"/>
        <v>5011.25</v>
      </c>
    </row>
    <row r="124" spans="1:11" ht="16.5" x14ac:dyDescent="0.3">
      <c r="A124" s="4">
        <v>43070</v>
      </c>
      <c r="B124" s="2" t="s">
        <v>25</v>
      </c>
      <c r="C124" s="2" t="s">
        <v>23</v>
      </c>
      <c r="D124" s="2" t="s">
        <v>33</v>
      </c>
      <c r="E124" s="16" t="s">
        <v>21</v>
      </c>
      <c r="F124" s="2">
        <v>1084</v>
      </c>
      <c r="G124" s="2">
        <v>20</v>
      </c>
      <c r="H124" s="2">
        <f t="shared" si="4"/>
        <v>23</v>
      </c>
      <c r="I124" s="2">
        <f t="shared" si="5"/>
        <v>24932</v>
      </c>
      <c r="J124" s="16">
        <f t="shared" si="6"/>
        <v>1246.6000000000001</v>
      </c>
      <c r="K124" s="2">
        <f t="shared" si="7"/>
        <v>23685.4</v>
      </c>
    </row>
    <row r="125" spans="1:11" ht="16.5" x14ac:dyDescent="0.3">
      <c r="A125" s="4">
        <v>43009</v>
      </c>
      <c r="B125" s="2" t="s">
        <v>11</v>
      </c>
      <c r="C125" s="2" t="s">
        <v>34</v>
      </c>
      <c r="D125" s="2" t="s">
        <v>13</v>
      </c>
      <c r="E125" s="16" t="s">
        <v>24</v>
      </c>
      <c r="F125" s="2">
        <v>1566</v>
      </c>
      <c r="G125" s="2">
        <v>30</v>
      </c>
      <c r="H125" s="2">
        <f t="shared" si="4"/>
        <v>40</v>
      </c>
      <c r="I125" s="2">
        <f t="shared" si="5"/>
        <v>62640</v>
      </c>
      <c r="J125" s="16">
        <f t="shared" si="6"/>
        <v>3132</v>
      </c>
      <c r="K125" s="2">
        <f t="shared" si="7"/>
        <v>59508</v>
      </c>
    </row>
    <row r="126" spans="1:11" ht="16.5" x14ac:dyDescent="0.3">
      <c r="A126" s="4">
        <v>43009</v>
      </c>
      <c r="B126" s="2" t="s">
        <v>11</v>
      </c>
      <c r="C126" s="2" t="s">
        <v>15</v>
      </c>
      <c r="D126" s="2" t="s">
        <v>29</v>
      </c>
      <c r="E126" s="16" t="s">
        <v>14</v>
      </c>
      <c r="F126" s="2">
        <v>2966</v>
      </c>
      <c r="G126" s="2">
        <v>40</v>
      </c>
      <c r="H126" s="2">
        <f t="shared" si="4"/>
        <v>60</v>
      </c>
      <c r="I126" s="2">
        <f t="shared" si="5"/>
        <v>177960</v>
      </c>
      <c r="J126" s="16">
        <f t="shared" si="6"/>
        <v>8898</v>
      </c>
      <c r="K126" s="2">
        <f t="shared" si="7"/>
        <v>169062</v>
      </c>
    </row>
    <row r="127" spans="1:11" ht="16.5" x14ac:dyDescent="0.3">
      <c r="A127" s="4">
        <v>43009</v>
      </c>
      <c r="B127" s="2" t="s">
        <v>11</v>
      </c>
      <c r="C127" s="2" t="s">
        <v>15</v>
      </c>
      <c r="D127" s="2" t="s">
        <v>26</v>
      </c>
      <c r="E127" s="16" t="s">
        <v>14</v>
      </c>
      <c r="F127" s="2">
        <v>2877</v>
      </c>
      <c r="G127" s="2">
        <v>2</v>
      </c>
      <c r="H127" s="2">
        <f t="shared" si="4"/>
        <v>22</v>
      </c>
      <c r="I127" s="2">
        <f t="shared" si="5"/>
        <v>63294</v>
      </c>
      <c r="J127" s="16">
        <f t="shared" si="6"/>
        <v>3164.7000000000003</v>
      </c>
      <c r="K127" s="2">
        <f t="shared" si="7"/>
        <v>60129.3</v>
      </c>
    </row>
    <row r="128" spans="1:11" ht="16.5" x14ac:dyDescent="0.3">
      <c r="A128" s="4">
        <v>43009</v>
      </c>
      <c r="B128" s="2" t="s">
        <v>11</v>
      </c>
      <c r="C128" s="2" t="s">
        <v>15</v>
      </c>
      <c r="D128" s="2" t="s">
        <v>26</v>
      </c>
      <c r="E128" s="16" t="s">
        <v>21</v>
      </c>
      <c r="F128" s="2">
        <v>809</v>
      </c>
      <c r="G128" s="2">
        <v>2</v>
      </c>
      <c r="H128" s="2">
        <f t="shared" si="4"/>
        <v>5</v>
      </c>
      <c r="I128" s="2">
        <f t="shared" si="5"/>
        <v>4045</v>
      </c>
      <c r="J128" s="16">
        <f t="shared" si="6"/>
        <v>202.25</v>
      </c>
      <c r="K128" s="2">
        <f t="shared" si="7"/>
        <v>3842.75</v>
      </c>
    </row>
    <row r="129" spans="1:11" ht="16.5" x14ac:dyDescent="0.3">
      <c r="A129" s="4">
        <v>43009</v>
      </c>
      <c r="B129" s="2" t="s">
        <v>11</v>
      </c>
      <c r="C129" s="2" t="s">
        <v>23</v>
      </c>
      <c r="D129" s="2" t="s">
        <v>30</v>
      </c>
      <c r="E129" s="16" t="s">
        <v>21</v>
      </c>
      <c r="F129" s="2">
        <v>2145</v>
      </c>
      <c r="G129" s="2">
        <v>6</v>
      </c>
      <c r="H129" s="2">
        <f t="shared" si="4"/>
        <v>9</v>
      </c>
      <c r="I129" s="2">
        <f t="shared" si="5"/>
        <v>19305</v>
      </c>
      <c r="J129" s="16">
        <f t="shared" si="6"/>
        <v>965.25</v>
      </c>
      <c r="K129" s="2">
        <f t="shared" si="7"/>
        <v>18339.75</v>
      </c>
    </row>
    <row r="130" spans="1:11" ht="16.5" x14ac:dyDescent="0.3">
      <c r="A130" s="4">
        <v>43070</v>
      </c>
      <c r="B130" s="2" t="s">
        <v>25</v>
      </c>
      <c r="C130" s="2" t="s">
        <v>19</v>
      </c>
      <c r="D130" s="2" t="s">
        <v>16</v>
      </c>
      <c r="E130" s="16" t="s">
        <v>17</v>
      </c>
      <c r="F130" s="2">
        <v>1055</v>
      </c>
      <c r="G130" s="2">
        <v>4</v>
      </c>
      <c r="H130" s="2">
        <f t="shared" si="4"/>
        <v>19</v>
      </c>
      <c r="I130" s="2">
        <f t="shared" si="5"/>
        <v>20045</v>
      </c>
      <c r="J130" s="16">
        <f t="shared" si="6"/>
        <v>1002.25</v>
      </c>
      <c r="K130" s="2">
        <f t="shared" si="7"/>
        <v>19042.75</v>
      </c>
    </row>
    <row r="131" spans="1:11" ht="16.5" x14ac:dyDescent="0.3">
      <c r="A131" s="4">
        <v>43070</v>
      </c>
      <c r="B131" s="2" t="s">
        <v>25</v>
      </c>
      <c r="C131" s="2" t="s">
        <v>23</v>
      </c>
      <c r="D131" s="2" t="s">
        <v>26</v>
      </c>
      <c r="E131" s="16" t="s">
        <v>17</v>
      </c>
      <c r="F131" s="2">
        <v>544</v>
      </c>
      <c r="G131" s="2">
        <v>2</v>
      </c>
      <c r="H131" s="2">
        <f t="shared" ref="H131:H194" si="8">IF(E131="High",G131+20,IF(E131="Medium",G131+15,IF(E131="Low",G131+10,G131+3)))</f>
        <v>17</v>
      </c>
      <c r="I131" s="2">
        <f t="shared" ref="I131:I194" si="9">F131*H131</f>
        <v>9248</v>
      </c>
      <c r="J131" s="16">
        <f t="shared" ref="J131:J194" si="10">IF(AND(D131="Note Book",F131&gt;2500),I131*12%,IF(AND(E131="Long Note Book",N131&lt;1800),I131*8%,I131*5%))</f>
        <v>462.40000000000003</v>
      </c>
      <c r="K131" s="2">
        <f t="shared" ref="K131:K194" si="11">I131-J131</f>
        <v>8785.6</v>
      </c>
    </row>
    <row r="132" spans="1:11" ht="16.5" x14ac:dyDescent="0.3">
      <c r="A132" s="4">
        <v>43070</v>
      </c>
      <c r="B132" s="2" t="s">
        <v>25</v>
      </c>
      <c r="C132" s="2" t="s">
        <v>23</v>
      </c>
      <c r="D132" s="2" t="s">
        <v>29</v>
      </c>
      <c r="E132" s="16" t="s">
        <v>21</v>
      </c>
      <c r="F132" s="2">
        <v>1084</v>
      </c>
      <c r="G132" s="2">
        <v>40</v>
      </c>
      <c r="H132" s="2">
        <f t="shared" si="8"/>
        <v>43</v>
      </c>
      <c r="I132" s="2">
        <f t="shared" si="9"/>
        <v>46612</v>
      </c>
      <c r="J132" s="16">
        <f t="shared" si="10"/>
        <v>2330.6</v>
      </c>
      <c r="K132" s="2">
        <f t="shared" si="11"/>
        <v>44281.4</v>
      </c>
    </row>
    <row r="133" spans="1:11" ht="16.5" x14ac:dyDescent="0.3">
      <c r="A133" s="4">
        <v>42887</v>
      </c>
      <c r="B133" s="2" t="s">
        <v>18</v>
      </c>
      <c r="C133" s="2" t="s">
        <v>23</v>
      </c>
      <c r="D133" s="2" t="s">
        <v>16</v>
      </c>
      <c r="E133" s="16" t="s">
        <v>21</v>
      </c>
      <c r="F133" s="2">
        <v>662</v>
      </c>
      <c r="G133" s="2">
        <v>4</v>
      </c>
      <c r="H133" s="2">
        <f t="shared" si="8"/>
        <v>7</v>
      </c>
      <c r="I133" s="2">
        <f t="shared" si="9"/>
        <v>4634</v>
      </c>
      <c r="J133" s="16">
        <f t="shared" si="10"/>
        <v>231.70000000000002</v>
      </c>
      <c r="K133" s="2">
        <f t="shared" si="11"/>
        <v>4402.3</v>
      </c>
    </row>
    <row r="134" spans="1:11" ht="16.5" x14ac:dyDescent="0.3">
      <c r="A134" s="4">
        <v>43009</v>
      </c>
      <c r="B134" s="2" t="s">
        <v>11</v>
      </c>
      <c r="C134" s="2" t="s">
        <v>15</v>
      </c>
      <c r="D134" s="2" t="s">
        <v>36</v>
      </c>
      <c r="E134" s="16" t="s">
        <v>21</v>
      </c>
      <c r="F134" s="2">
        <v>214</v>
      </c>
      <c r="G134" s="2">
        <v>10</v>
      </c>
      <c r="H134" s="2">
        <f t="shared" si="8"/>
        <v>13</v>
      </c>
      <c r="I134" s="2">
        <f t="shared" si="9"/>
        <v>2782</v>
      </c>
      <c r="J134" s="16">
        <f t="shared" si="10"/>
        <v>139.1</v>
      </c>
      <c r="K134" s="2">
        <f t="shared" si="11"/>
        <v>2642.9</v>
      </c>
    </row>
    <row r="135" spans="1:11" ht="16.5" x14ac:dyDescent="0.3">
      <c r="A135" s="4">
        <v>43009</v>
      </c>
      <c r="B135" s="2" t="s">
        <v>11</v>
      </c>
      <c r="C135" s="2" t="s">
        <v>15</v>
      </c>
      <c r="D135" s="2" t="s">
        <v>30</v>
      </c>
      <c r="E135" s="16" t="s">
        <v>21</v>
      </c>
      <c r="F135" s="2">
        <v>2877</v>
      </c>
      <c r="G135" s="2">
        <v>6</v>
      </c>
      <c r="H135" s="2">
        <f t="shared" si="8"/>
        <v>9</v>
      </c>
      <c r="I135" s="2">
        <f t="shared" si="9"/>
        <v>25893</v>
      </c>
      <c r="J135" s="16">
        <f t="shared" si="10"/>
        <v>1294.6500000000001</v>
      </c>
      <c r="K135" s="2">
        <f t="shared" si="11"/>
        <v>24598.35</v>
      </c>
    </row>
    <row r="136" spans="1:11" ht="16.5" x14ac:dyDescent="0.3">
      <c r="A136" s="4">
        <v>43070</v>
      </c>
      <c r="B136" s="2" t="s">
        <v>25</v>
      </c>
      <c r="C136" s="2" t="s">
        <v>12</v>
      </c>
      <c r="D136" s="2" t="s">
        <v>13</v>
      </c>
      <c r="E136" s="16" t="s">
        <v>24</v>
      </c>
      <c r="F136" s="2">
        <v>2729</v>
      </c>
      <c r="G136" s="2">
        <v>30</v>
      </c>
      <c r="H136" s="2">
        <f t="shared" si="8"/>
        <v>40</v>
      </c>
      <c r="I136" s="2">
        <f t="shared" si="9"/>
        <v>109160</v>
      </c>
      <c r="J136" s="16">
        <f t="shared" si="10"/>
        <v>13099.199999999999</v>
      </c>
      <c r="K136" s="2">
        <f t="shared" si="11"/>
        <v>96060.800000000003</v>
      </c>
    </row>
    <row r="137" spans="1:11" ht="16.5" x14ac:dyDescent="0.3">
      <c r="A137" s="4">
        <v>43070</v>
      </c>
      <c r="B137" s="2" t="s">
        <v>25</v>
      </c>
      <c r="C137" s="2" t="s">
        <v>34</v>
      </c>
      <c r="D137" s="2" t="s">
        <v>35</v>
      </c>
      <c r="E137" s="16" t="s">
        <v>14</v>
      </c>
      <c r="F137" s="2">
        <v>266</v>
      </c>
      <c r="G137" s="2">
        <v>25</v>
      </c>
      <c r="H137" s="2">
        <f t="shared" si="8"/>
        <v>45</v>
      </c>
      <c r="I137" s="2">
        <f t="shared" si="9"/>
        <v>11970</v>
      </c>
      <c r="J137" s="16">
        <f t="shared" si="10"/>
        <v>598.5</v>
      </c>
      <c r="K137" s="2">
        <f t="shared" si="11"/>
        <v>11371.5</v>
      </c>
    </row>
    <row r="138" spans="1:11" ht="16.5" x14ac:dyDescent="0.3">
      <c r="A138" s="4">
        <v>43070</v>
      </c>
      <c r="B138" s="2" t="s">
        <v>25</v>
      </c>
      <c r="C138" s="2" t="s">
        <v>23</v>
      </c>
      <c r="D138" s="2" t="s">
        <v>20</v>
      </c>
      <c r="E138" s="16" t="s">
        <v>14</v>
      </c>
      <c r="F138" s="2">
        <v>1940</v>
      </c>
      <c r="G138" s="2">
        <v>5</v>
      </c>
      <c r="H138" s="2">
        <f t="shared" si="8"/>
        <v>25</v>
      </c>
      <c r="I138" s="2">
        <f t="shared" si="9"/>
        <v>48500</v>
      </c>
      <c r="J138" s="16">
        <f t="shared" si="10"/>
        <v>2425</v>
      </c>
      <c r="K138" s="2">
        <f t="shared" si="11"/>
        <v>46075</v>
      </c>
    </row>
    <row r="139" spans="1:11" ht="16.5" x14ac:dyDescent="0.3">
      <c r="A139" s="4">
        <v>42795</v>
      </c>
      <c r="B139" s="2" t="s">
        <v>27</v>
      </c>
      <c r="C139" s="2" t="s">
        <v>15</v>
      </c>
      <c r="D139" s="2" t="s">
        <v>35</v>
      </c>
      <c r="E139" s="16" t="s">
        <v>21</v>
      </c>
      <c r="F139" s="2">
        <v>259</v>
      </c>
      <c r="G139" s="2">
        <v>25</v>
      </c>
      <c r="H139" s="2">
        <f t="shared" si="8"/>
        <v>28</v>
      </c>
      <c r="I139" s="2">
        <f t="shared" si="9"/>
        <v>7252</v>
      </c>
      <c r="J139" s="16">
        <f t="shared" si="10"/>
        <v>362.6</v>
      </c>
      <c r="K139" s="2">
        <f t="shared" si="11"/>
        <v>6889.4</v>
      </c>
    </row>
    <row r="140" spans="1:11" ht="16.5" x14ac:dyDescent="0.3">
      <c r="A140" s="4">
        <v>42795</v>
      </c>
      <c r="B140" s="2" t="s">
        <v>27</v>
      </c>
      <c r="C140" s="2" t="s">
        <v>23</v>
      </c>
      <c r="D140" s="2" t="s">
        <v>22</v>
      </c>
      <c r="E140" s="16" t="s">
        <v>21</v>
      </c>
      <c r="F140" s="2">
        <v>1101</v>
      </c>
      <c r="G140" s="2">
        <v>3</v>
      </c>
      <c r="H140" s="2">
        <f t="shared" si="8"/>
        <v>6</v>
      </c>
      <c r="I140" s="2">
        <f t="shared" si="9"/>
        <v>6606</v>
      </c>
      <c r="J140" s="16">
        <f t="shared" si="10"/>
        <v>330.3</v>
      </c>
      <c r="K140" s="2">
        <f t="shared" si="11"/>
        <v>6275.7</v>
      </c>
    </row>
    <row r="141" spans="1:11" ht="16.5" x14ac:dyDescent="0.3">
      <c r="A141" s="4">
        <v>42856</v>
      </c>
      <c r="B141" s="2" t="s">
        <v>37</v>
      </c>
      <c r="C141" s="2" t="s">
        <v>15</v>
      </c>
      <c r="D141" s="2" t="s">
        <v>26</v>
      </c>
      <c r="E141" s="16" t="s">
        <v>17</v>
      </c>
      <c r="F141" s="2">
        <v>2276</v>
      </c>
      <c r="G141" s="2">
        <v>2</v>
      </c>
      <c r="H141" s="2">
        <f t="shared" si="8"/>
        <v>17</v>
      </c>
      <c r="I141" s="2">
        <f t="shared" si="9"/>
        <v>38692</v>
      </c>
      <c r="J141" s="16">
        <f t="shared" si="10"/>
        <v>1934.6000000000001</v>
      </c>
      <c r="K141" s="2">
        <f t="shared" si="11"/>
        <v>36757.4</v>
      </c>
    </row>
    <row r="142" spans="1:11" ht="16.5" x14ac:dyDescent="0.3">
      <c r="A142" s="4">
        <v>43009</v>
      </c>
      <c r="B142" s="2" t="s">
        <v>11</v>
      </c>
      <c r="C142" s="2" t="s">
        <v>15</v>
      </c>
      <c r="D142" s="2" t="s">
        <v>30</v>
      </c>
      <c r="E142" s="16" t="s">
        <v>17</v>
      </c>
      <c r="F142" s="2">
        <v>2966</v>
      </c>
      <c r="G142" s="2">
        <v>6</v>
      </c>
      <c r="H142" s="2">
        <f t="shared" si="8"/>
        <v>21</v>
      </c>
      <c r="I142" s="2">
        <f t="shared" si="9"/>
        <v>62286</v>
      </c>
      <c r="J142" s="16">
        <f t="shared" si="10"/>
        <v>3114.3</v>
      </c>
      <c r="K142" s="2">
        <f t="shared" si="11"/>
        <v>59171.7</v>
      </c>
    </row>
    <row r="143" spans="1:11" ht="16.5" x14ac:dyDescent="0.3">
      <c r="A143" s="4">
        <v>43040</v>
      </c>
      <c r="B143" s="2" t="s">
        <v>27</v>
      </c>
      <c r="C143" s="2" t="s">
        <v>34</v>
      </c>
      <c r="D143" s="2" t="s">
        <v>20</v>
      </c>
      <c r="E143" s="16" t="s">
        <v>21</v>
      </c>
      <c r="F143" s="2">
        <v>1236</v>
      </c>
      <c r="G143" s="2">
        <v>5</v>
      </c>
      <c r="H143" s="2">
        <f t="shared" si="8"/>
        <v>8</v>
      </c>
      <c r="I143" s="2">
        <f t="shared" si="9"/>
        <v>9888</v>
      </c>
      <c r="J143" s="16">
        <f t="shared" si="10"/>
        <v>494.40000000000003</v>
      </c>
      <c r="K143" s="2">
        <f t="shared" si="11"/>
        <v>9393.6</v>
      </c>
    </row>
    <row r="144" spans="1:11" ht="16.5" x14ac:dyDescent="0.3">
      <c r="A144" s="4">
        <v>43040</v>
      </c>
      <c r="B144" s="2" t="s">
        <v>27</v>
      </c>
      <c r="C144" s="2" t="s">
        <v>19</v>
      </c>
      <c r="D144" s="2" t="s">
        <v>22</v>
      </c>
      <c r="E144" s="16" t="s">
        <v>21</v>
      </c>
      <c r="F144" s="2">
        <v>941</v>
      </c>
      <c r="G144" s="2">
        <v>3</v>
      </c>
      <c r="H144" s="2">
        <f t="shared" si="8"/>
        <v>6</v>
      </c>
      <c r="I144" s="2">
        <f t="shared" si="9"/>
        <v>5646</v>
      </c>
      <c r="J144" s="16">
        <f t="shared" si="10"/>
        <v>282.3</v>
      </c>
      <c r="K144" s="2">
        <f t="shared" si="11"/>
        <v>5363.7</v>
      </c>
    </row>
    <row r="145" spans="1:11" ht="16.5" x14ac:dyDescent="0.3">
      <c r="A145" s="4">
        <v>43070</v>
      </c>
      <c r="B145" s="2" t="s">
        <v>25</v>
      </c>
      <c r="C145" s="2" t="s">
        <v>12</v>
      </c>
      <c r="D145" s="2" t="s">
        <v>36</v>
      </c>
      <c r="E145" s="16" t="s">
        <v>21</v>
      </c>
      <c r="F145" s="2">
        <v>1916</v>
      </c>
      <c r="G145" s="2">
        <v>10</v>
      </c>
      <c r="H145" s="2">
        <f t="shared" si="8"/>
        <v>13</v>
      </c>
      <c r="I145" s="2">
        <f t="shared" si="9"/>
        <v>24908</v>
      </c>
      <c r="J145" s="16">
        <f t="shared" si="10"/>
        <v>1245.4000000000001</v>
      </c>
      <c r="K145" s="2">
        <f t="shared" si="11"/>
        <v>23662.6</v>
      </c>
    </row>
    <row r="146" spans="1:11" ht="16.5" x14ac:dyDescent="0.3">
      <c r="A146" s="4">
        <v>42826</v>
      </c>
      <c r="B146" s="2" t="s">
        <v>31</v>
      </c>
      <c r="C146" s="2" t="s">
        <v>19</v>
      </c>
      <c r="D146" s="2" t="s">
        <v>20</v>
      </c>
      <c r="E146" s="16" t="s">
        <v>24</v>
      </c>
      <c r="F146" s="2">
        <v>4243.5</v>
      </c>
      <c r="G146" s="2">
        <v>5</v>
      </c>
      <c r="H146" s="2">
        <f t="shared" si="8"/>
        <v>15</v>
      </c>
      <c r="I146" s="2">
        <f t="shared" si="9"/>
        <v>63652.5</v>
      </c>
      <c r="J146" s="16">
        <f t="shared" si="10"/>
        <v>3182.625</v>
      </c>
      <c r="K146" s="2">
        <f t="shared" si="11"/>
        <v>60469.875</v>
      </c>
    </row>
    <row r="147" spans="1:11" ht="16.5" x14ac:dyDescent="0.3">
      <c r="A147" s="4">
        <v>42826</v>
      </c>
      <c r="B147" s="2" t="s">
        <v>31</v>
      </c>
      <c r="C147" s="2" t="s">
        <v>15</v>
      </c>
      <c r="D147" s="2" t="s">
        <v>26</v>
      </c>
      <c r="E147" s="16" t="s">
        <v>14</v>
      </c>
      <c r="F147" s="2">
        <v>2580</v>
      </c>
      <c r="G147" s="2">
        <v>2</v>
      </c>
      <c r="H147" s="2">
        <f t="shared" si="8"/>
        <v>22</v>
      </c>
      <c r="I147" s="2">
        <f t="shared" si="9"/>
        <v>56760</v>
      </c>
      <c r="J147" s="16">
        <f t="shared" si="10"/>
        <v>2838</v>
      </c>
      <c r="K147" s="2">
        <f t="shared" si="11"/>
        <v>53922</v>
      </c>
    </row>
    <row r="148" spans="1:11" ht="16.5" x14ac:dyDescent="0.3">
      <c r="A148" s="4">
        <v>42887</v>
      </c>
      <c r="B148" s="2" t="s">
        <v>18</v>
      </c>
      <c r="C148" s="2" t="s">
        <v>15</v>
      </c>
      <c r="D148" s="2" t="s">
        <v>29</v>
      </c>
      <c r="E148" s="16" t="s">
        <v>14</v>
      </c>
      <c r="F148" s="2">
        <v>689</v>
      </c>
      <c r="G148" s="2">
        <v>40</v>
      </c>
      <c r="H148" s="2">
        <f t="shared" si="8"/>
        <v>60</v>
      </c>
      <c r="I148" s="2">
        <f t="shared" si="9"/>
        <v>41340</v>
      </c>
      <c r="J148" s="16">
        <f t="shared" si="10"/>
        <v>2067</v>
      </c>
      <c r="K148" s="2">
        <f t="shared" si="11"/>
        <v>39273</v>
      </c>
    </row>
    <row r="149" spans="1:11" ht="16.5" x14ac:dyDescent="0.3">
      <c r="A149" s="4">
        <v>42979</v>
      </c>
      <c r="B149" s="2" t="s">
        <v>25</v>
      </c>
      <c r="C149" s="2" t="s">
        <v>34</v>
      </c>
      <c r="D149" s="2" t="s">
        <v>13</v>
      </c>
      <c r="E149" s="16" t="s">
        <v>21</v>
      </c>
      <c r="F149" s="2">
        <v>1947</v>
      </c>
      <c r="G149" s="2">
        <v>30</v>
      </c>
      <c r="H149" s="2">
        <f t="shared" si="8"/>
        <v>33</v>
      </c>
      <c r="I149" s="2">
        <f t="shared" si="9"/>
        <v>64251</v>
      </c>
      <c r="J149" s="16">
        <f t="shared" si="10"/>
        <v>3212.55</v>
      </c>
      <c r="K149" s="2">
        <f t="shared" si="11"/>
        <v>61038.45</v>
      </c>
    </row>
    <row r="150" spans="1:11" ht="16.5" x14ac:dyDescent="0.3">
      <c r="A150" s="4">
        <v>43070</v>
      </c>
      <c r="B150" s="2" t="s">
        <v>25</v>
      </c>
      <c r="C150" s="2" t="s">
        <v>12</v>
      </c>
      <c r="D150" s="2" t="s">
        <v>30</v>
      </c>
      <c r="E150" s="16" t="s">
        <v>21</v>
      </c>
      <c r="F150" s="2">
        <v>908</v>
      </c>
      <c r="G150" s="2">
        <v>6</v>
      </c>
      <c r="H150" s="2">
        <f t="shared" si="8"/>
        <v>9</v>
      </c>
      <c r="I150" s="2">
        <f t="shared" si="9"/>
        <v>8172</v>
      </c>
      <c r="J150" s="16">
        <f t="shared" si="10"/>
        <v>408.6</v>
      </c>
      <c r="K150" s="2">
        <f t="shared" si="11"/>
        <v>7763.4</v>
      </c>
    </row>
    <row r="151" spans="1:11" ht="16.5" x14ac:dyDescent="0.3">
      <c r="A151" s="4">
        <v>42767</v>
      </c>
      <c r="B151" s="2" t="s">
        <v>27</v>
      </c>
      <c r="C151" s="2" t="s">
        <v>15</v>
      </c>
      <c r="D151" s="2" t="s">
        <v>20</v>
      </c>
      <c r="E151" s="16" t="s">
        <v>17</v>
      </c>
      <c r="F151" s="2">
        <v>1958</v>
      </c>
      <c r="G151" s="2">
        <v>5</v>
      </c>
      <c r="H151" s="2">
        <f t="shared" si="8"/>
        <v>20</v>
      </c>
      <c r="I151" s="2">
        <f t="shared" si="9"/>
        <v>39160</v>
      </c>
      <c r="J151" s="16">
        <f t="shared" si="10"/>
        <v>1958</v>
      </c>
      <c r="K151" s="2">
        <f t="shared" si="11"/>
        <v>37202</v>
      </c>
    </row>
    <row r="152" spans="1:11" ht="16.5" x14ac:dyDescent="0.3">
      <c r="A152" s="4">
        <v>42887</v>
      </c>
      <c r="B152" s="2" t="s">
        <v>18</v>
      </c>
      <c r="C152" s="2" t="s">
        <v>19</v>
      </c>
      <c r="D152" s="2" t="s">
        <v>29</v>
      </c>
      <c r="E152" s="16" t="s">
        <v>17</v>
      </c>
      <c r="F152" s="2">
        <v>1901</v>
      </c>
      <c r="G152" s="2">
        <v>40</v>
      </c>
      <c r="H152" s="2">
        <f t="shared" si="8"/>
        <v>55</v>
      </c>
      <c r="I152" s="2">
        <f t="shared" si="9"/>
        <v>104555</v>
      </c>
      <c r="J152" s="16">
        <f t="shared" si="10"/>
        <v>5227.75</v>
      </c>
      <c r="K152" s="2">
        <f t="shared" si="11"/>
        <v>99327.25</v>
      </c>
    </row>
    <row r="153" spans="1:11" ht="16.5" x14ac:dyDescent="0.3">
      <c r="A153" s="4">
        <v>42979</v>
      </c>
      <c r="B153" s="2" t="s">
        <v>25</v>
      </c>
      <c r="C153" s="2" t="s">
        <v>19</v>
      </c>
      <c r="D153" s="2" t="s">
        <v>30</v>
      </c>
      <c r="E153" s="16" t="s">
        <v>21</v>
      </c>
      <c r="F153" s="2">
        <v>544</v>
      </c>
      <c r="G153" s="2">
        <v>6</v>
      </c>
      <c r="H153" s="2">
        <f t="shared" si="8"/>
        <v>9</v>
      </c>
      <c r="I153" s="2">
        <f t="shared" si="9"/>
        <v>4896</v>
      </c>
      <c r="J153" s="16">
        <f t="shared" si="10"/>
        <v>244.8</v>
      </c>
      <c r="K153" s="2">
        <f t="shared" si="11"/>
        <v>4651.2</v>
      </c>
    </row>
    <row r="154" spans="1:11" ht="16.5" x14ac:dyDescent="0.3">
      <c r="A154" s="4">
        <v>42979</v>
      </c>
      <c r="B154" s="2" t="s">
        <v>25</v>
      </c>
      <c r="C154" s="2" t="s">
        <v>15</v>
      </c>
      <c r="D154" s="2" t="s">
        <v>30</v>
      </c>
      <c r="E154" s="16" t="s">
        <v>21</v>
      </c>
      <c r="F154" s="2">
        <v>1797</v>
      </c>
      <c r="G154" s="2">
        <v>6</v>
      </c>
      <c r="H154" s="2">
        <f t="shared" si="8"/>
        <v>9</v>
      </c>
      <c r="I154" s="2">
        <f t="shared" si="9"/>
        <v>16173</v>
      </c>
      <c r="J154" s="16">
        <f t="shared" si="10"/>
        <v>808.65000000000009</v>
      </c>
      <c r="K154" s="2">
        <f t="shared" si="11"/>
        <v>15364.35</v>
      </c>
    </row>
    <row r="155" spans="1:11" ht="16.5" x14ac:dyDescent="0.3">
      <c r="A155" s="4">
        <v>43070</v>
      </c>
      <c r="B155" s="2" t="s">
        <v>25</v>
      </c>
      <c r="C155" s="2" t="s">
        <v>19</v>
      </c>
      <c r="D155" s="2" t="s">
        <v>28</v>
      </c>
      <c r="E155" s="16" t="s">
        <v>21</v>
      </c>
      <c r="F155" s="2">
        <v>1287</v>
      </c>
      <c r="G155" s="2">
        <v>120</v>
      </c>
      <c r="H155" s="2">
        <f t="shared" si="8"/>
        <v>123</v>
      </c>
      <c r="I155" s="2">
        <f t="shared" si="9"/>
        <v>158301</v>
      </c>
      <c r="J155" s="16">
        <f t="shared" si="10"/>
        <v>7915.05</v>
      </c>
      <c r="K155" s="2">
        <f t="shared" si="11"/>
        <v>150385.95000000001</v>
      </c>
    </row>
    <row r="156" spans="1:11" ht="16.5" x14ac:dyDescent="0.3">
      <c r="A156" s="4">
        <v>43070</v>
      </c>
      <c r="B156" s="2" t="s">
        <v>25</v>
      </c>
      <c r="C156" s="2" t="s">
        <v>15</v>
      </c>
      <c r="D156" s="2" t="s">
        <v>35</v>
      </c>
      <c r="E156" s="16" t="s">
        <v>21</v>
      </c>
      <c r="F156" s="2">
        <v>1706</v>
      </c>
      <c r="G156" s="2">
        <v>25</v>
      </c>
      <c r="H156" s="2">
        <f t="shared" si="8"/>
        <v>28</v>
      </c>
      <c r="I156" s="2">
        <f t="shared" si="9"/>
        <v>47768</v>
      </c>
      <c r="J156" s="16">
        <f t="shared" si="10"/>
        <v>2388.4</v>
      </c>
      <c r="K156" s="2">
        <f t="shared" si="11"/>
        <v>45379.6</v>
      </c>
    </row>
    <row r="157" spans="1:11" ht="16.5" x14ac:dyDescent="0.3">
      <c r="A157" s="4">
        <v>42736</v>
      </c>
      <c r="B157" s="2" t="s">
        <v>11</v>
      </c>
      <c r="C157" s="2" t="s">
        <v>19</v>
      </c>
      <c r="D157" s="2" t="s">
        <v>16</v>
      </c>
      <c r="E157" s="16" t="s">
        <v>24</v>
      </c>
      <c r="F157" s="2">
        <v>2434.5</v>
      </c>
      <c r="G157" s="2">
        <v>4</v>
      </c>
      <c r="H157" s="2">
        <f t="shared" si="8"/>
        <v>14</v>
      </c>
      <c r="I157" s="2">
        <f t="shared" si="9"/>
        <v>34083</v>
      </c>
      <c r="J157" s="16">
        <f t="shared" si="10"/>
        <v>1704.15</v>
      </c>
      <c r="K157" s="2">
        <f t="shared" si="11"/>
        <v>32378.85</v>
      </c>
    </row>
    <row r="158" spans="1:11" ht="16.5" x14ac:dyDescent="0.3">
      <c r="A158" s="4">
        <v>42795</v>
      </c>
      <c r="B158" s="2" t="s">
        <v>27</v>
      </c>
      <c r="C158" s="2" t="s">
        <v>12</v>
      </c>
      <c r="D158" s="2" t="s">
        <v>13</v>
      </c>
      <c r="E158" s="16" t="s">
        <v>14</v>
      </c>
      <c r="F158" s="2">
        <v>1774</v>
      </c>
      <c r="G158" s="2">
        <v>30</v>
      </c>
      <c r="H158" s="2">
        <f t="shared" si="8"/>
        <v>50</v>
      </c>
      <c r="I158" s="2">
        <f t="shared" si="9"/>
        <v>88700</v>
      </c>
      <c r="J158" s="16">
        <f t="shared" si="10"/>
        <v>4435</v>
      </c>
      <c r="K158" s="2">
        <f t="shared" si="11"/>
        <v>84265</v>
      </c>
    </row>
    <row r="159" spans="1:11" ht="16.5" x14ac:dyDescent="0.3">
      <c r="A159" s="4">
        <v>42887</v>
      </c>
      <c r="B159" s="2" t="s">
        <v>18</v>
      </c>
      <c r="C159" s="2" t="s">
        <v>19</v>
      </c>
      <c r="D159" s="2" t="s">
        <v>33</v>
      </c>
      <c r="E159" s="16" t="s">
        <v>14</v>
      </c>
      <c r="F159" s="2">
        <v>1901</v>
      </c>
      <c r="G159" s="2">
        <v>20</v>
      </c>
      <c r="H159" s="2">
        <f t="shared" si="8"/>
        <v>40</v>
      </c>
      <c r="I159" s="2">
        <f t="shared" si="9"/>
        <v>76040</v>
      </c>
      <c r="J159" s="16">
        <f t="shared" si="10"/>
        <v>3802</v>
      </c>
      <c r="K159" s="2">
        <f t="shared" si="11"/>
        <v>72238</v>
      </c>
    </row>
    <row r="160" spans="1:11" ht="16.5" x14ac:dyDescent="0.3">
      <c r="A160" s="4">
        <v>42887</v>
      </c>
      <c r="B160" s="2" t="s">
        <v>18</v>
      </c>
      <c r="C160" s="2" t="s">
        <v>15</v>
      </c>
      <c r="D160" s="2" t="s">
        <v>28</v>
      </c>
      <c r="E160" s="16" t="s">
        <v>21</v>
      </c>
      <c r="F160" s="2">
        <v>689</v>
      </c>
      <c r="G160" s="2">
        <v>120</v>
      </c>
      <c r="H160" s="2">
        <f t="shared" si="8"/>
        <v>123</v>
      </c>
      <c r="I160" s="2">
        <f t="shared" si="9"/>
        <v>84747</v>
      </c>
      <c r="J160" s="16">
        <f t="shared" si="10"/>
        <v>4237.3500000000004</v>
      </c>
      <c r="K160" s="2">
        <f t="shared" si="11"/>
        <v>80509.649999999994</v>
      </c>
    </row>
    <row r="161" spans="1:11" ht="16.5" x14ac:dyDescent="0.3">
      <c r="A161" s="4">
        <v>42887</v>
      </c>
      <c r="B161" s="2" t="s">
        <v>18</v>
      </c>
      <c r="C161" s="2" t="s">
        <v>15</v>
      </c>
      <c r="D161" s="2" t="s">
        <v>13</v>
      </c>
      <c r="E161" s="16" t="s">
        <v>21</v>
      </c>
      <c r="F161" s="2">
        <v>1570</v>
      </c>
      <c r="G161" s="2">
        <v>30</v>
      </c>
      <c r="H161" s="2">
        <f t="shared" si="8"/>
        <v>33</v>
      </c>
      <c r="I161" s="2">
        <f t="shared" si="9"/>
        <v>51810</v>
      </c>
      <c r="J161" s="16">
        <f t="shared" si="10"/>
        <v>2590.5</v>
      </c>
      <c r="K161" s="2">
        <f t="shared" si="11"/>
        <v>49219.5</v>
      </c>
    </row>
    <row r="162" spans="1:11" ht="16.5" x14ac:dyDescent="0.3">
      <c r="A162" s="4">
        <v>42917</v>
      </c>
      <c r="B162" s="2" t="s">
        <v>31</v>
      </c>
      <c r="C162" s="2" t="s">
        <v>34</v>
      </c>
      <c r="D162" s="2" t="s">
        <v>35</v>
      </c>
      <c r="E162" s="16" t="s">
        <v>17</v>
      </c>
      <c r="F162" s="2">
        <v>1369.5</v>
      </c>
      <c r="G162" s="2">
        <v>25</v>
      </c>
      <c r="H162" s="2">
        <f t="shared" si="8"/>
        <v>40</v>
      </c>
      <c r="I162" s="2">
        <f t="shared" si="9"/>
        <v>54780</v>
      </c>
      <c r="J162" s="16">
        <f t="shared" si="10"/>
        <v>2739</v>
      </c>
      <c r="K162" s="2">
        <f t="shared" si="11"/>
        <v>52041</v>
      </c>
    </row>
    <row r="163" spans="1:11" ht="16.5" x14ac:dyDescent="0.3">
      <c r="A163" s="4">
        <v>43009</v>
      </c>
      <c r="B163" s="2" t="s">
        <v>11</v>
      </c>
      <c r="C163" s="2" t="s">
        <v>12</v>
      </c>
      <c r="D163" s="2" t="s">
        <v>33</v>
      </c>
      <c r="E163" s="16" t="s">
        <v>17</v>
      </c>
      <c r="F163" s="2">
        <v>2009</v>
      </c>
      <c r="G163" s="2">
        <v>20</v>
      </c>
      <c r="H163" s="2">
        <f t="shared" si="8"/>
        <v>35</v>
      </c>
      <c r="I163" s="2">
        <f t="shared" si="9"/>
        <v>70315</v>
      </c>
      <c r="J163" s="16">
        <f t="shared" si="10"/>
        <v>3515.75</v>
      </c>
      <c r="K163" s="2">
        <f t="shared" si="11"/>
        <v>66799.25</v>
      </c>
    </row>
    <row r="164" spans="1:11" ht="16.5" x14ac:dyDescent="0.3">
      <c r="A164" s="4">
        <v>43009</v>
      </c>
      <c r="B164" s="2" t="s">
        <v>11</v>
      </c>
      <c r="C164" s="2" t="s">
        <v>15</v>
      </c>
      <c r="D164" s="2" t="s">
        <v>16</v>
      </c>
      <c r="E164" s="16" t="s">
        <v>21</v>
      </c>
      <c r="F164" s="2">
        <v>1945</v>
      </c>
      <c r="G164" s="2">
        <v>4</v>
      </c>
      <c r="H164" s="2">
        <f t="shared" si="8"/>
        <v>7</v>
      </c>
      <c r="I164" s="2">
        <f t="shared" si="9"/>
        <v>13615</v>
      </c>
      <c r="J164" s="16">
        <f t="shared" si="10"/>
        <v>680.75</v>
      </c>
      <c r="K164" s="2">
        <f t="shared" si="11"/>
        <v>12934.25</v>
      </c>
    </row>
    <row r="165" spans="1:11" ht="16.5" x14ac:dyDescent="0.3">
      <c r="A165" s="4">
        <v>43070</v>
      </c>
      <c r="B165" s="2" t="s">
        <v>25</v>
      </c>
      <c r="C165" s="2" t="s">
        <v>19</v>
      </c>
      <c r="D165" s="2" t="s">
        <v>26</v>
      </c>
      <c r="E165" s="16" t="s">
        <v>21</v>
      </c>
      <c r="F165" s="2">
        <v>1287</v>
      </c>
      <c r="G165" s="2">
        <v>2</v>
      </c>
      <c r="H165" s="2">
        <f t="shared" si="8"/>
        <v>5</v>
      </c>
      <c r="I165" s="2">
        <f t="shared" si="9"/>
        <v>6435</v>
      </c>
      <c r="J165" s="16">
        <f t="shared" si="10"/>
        <v>321.75</v>
      </c>
      <c r="K165" s="2">
        <f t="shared" si="11"/>
        <v>6113.25</v>
      </c>
    </row>
    <row r="166" spans="1:11" ht="16.5" x14ac:dyDescent="0.3">
      <c r="A166" s="4">
        <v>43070</v>
      </c>
      <c r="B166" s="2" t="s">
        <v>25</v>
      </c>
      <c r="C166" s="2" t="s">
        <v>15</v>
      </c>
      <c r="D166" s="2" t="s">
        <v>20</v>
      </c>
      <c r="E166" s="16" t="s">
        <v>21</v>
      </c>
      <c r="F166" s="2">
        <v>1706</v>
      </c>
      <c r="G166" s="2">
        <v>5</v>
      </c>
      <c r="H166" s="2">
        <f t="shared" si="8"/>
        <v>8</v>
      </c>
      <c r="I166" s="2">
        <f t="shared" si="9"/>
        <v>13648</v>
      </c>
      <c r="J166" s="16">
        <f t="shared" si="10"/>
        <v>682.40000000000009</v>
      </c>
      <c r="K166" s="2">
        <f t="shared" si="11"/>
        <v>12965.6</v>
      </c>
    </row>
    <row r="167" spans="1:11" ht="16.5" x14ac:dyDescent="0.3">
      <c r="A167" s="4">
        <v>43009</v>
      </c>
      <c r="B167" s="2" t="s">
        <v>11</v>
      </c>
      <c r="C167" s="2" t="s">
        <v>12</v>
      </c>
      <c r="D167" s="2" t="s">
        <v>29</v>
      </c>
      <c r="E167" s="16" t="s">
        <v>24</v>
      </c>
      <c r="F167" s="2">
        <v>2009</v>
      </c>
      <c r="G167" s="2">
        <v>40</v>
      </c>
      <c r="H167" s="2">
        <f t="shared" si="8"/>
        <v>50</v>
      </c>
      <c r="I167" s="2">
        <f t="shared" si="9"/>
        <v>100450</v>
      </c>
      <c r="J167" s="16">
        <f t="shared" si="10"/>
        <v>5022.5</v>
      </c>
      <c r="K167" s="2">
        <f t="shared" si="11"/>
        <v>95427.5</v>
      </c>
    </row>
    <row r="168" spans="1:11" ht="16.5" x14ac:dyDescent="0.3">
      <c r="A168" s="4">
        <v>42767</v>
      </c>
      <c r="B168" s="2" t="s">
        <v>27</v>
      </c>
      <c r="C168" s="2" t="s">
        <v>34</v>
      </c>
      <c r="D168" s="2" t="s">
        <v>29</v>
      </c>
      <c r="E168" s="16" t="s">
        <v>14</v>
      </c>
      <c r="F168" s="2">
        <v>2844</v>
      </c>
      <c r="G168" s="2">
        <v>40</v>
      </c>
      <c r="H168" s="2">
        <f t="shared" si="8"/>
        <v>60</v>
      </c>
      <c r="I168" s="2">
        <f t="shared" si="9"/>
        <v>170640</v>
      </c>
      <c r="J168" s="16">
        <f t="shared" si="10"/>
        <v>8532</v>
      </c>
      <c r="K168" s="2">
        <f t="shared" si="11"/>
        <v>162108</v>
      </c>
    </row>
    <row r="169" spans="1:11" ht="16.5" x14ac:dyDescent="0.3">
      <c r="A169" s="4">
        <v>42826</v>
      </c>
      <c r="B169" s="2" t="s">
        <v>31</v>
      </c>
      <c r="C169" s="2" t="s">
        <v>23</v>
      </c>
      <c r="D169" s="2" t="s">
        <v>22</v>
      </c>
      <c r="E169" s="16" t="s">
        <v>14</v>
      </c>
      <c r="F169" s="2">
        <v>1916</v>
      </c>
      <c r="G169" s="2">
        <v>3</v>
      </c>
      <c r="H169" s="2">
        <f t="shared" si="8"/>
        <v>23</v>
      </c>
      <c r="I169" s="2">
        <f t="shared" si="9"/>
        <v>44068</v>
      </c>
      <c r="J169" s="16">
        <f t="shared" si="10"/>
        <v>2203.4</v>
      </c>
      <c r="K169" s="2">
        <f t="shared" si="11"/>
        <v>41864.6</v>
      </c>
    </row>
    <row r="170" spans="1:11" ht="16.5" x14ac:dyDescent="0.3">
      <c r="A170" s="4">
        <v>42887</v>
      </c>
      <c r="B170" s="2" t="s">
        <v>18</v>
      </c>
      <c r="C170" s="2" t="s">
        <v>15</v>
      </c>
      <c r="D170" s="2" t="s">
        <v>30</v>
      </c>
      <c r="E170" s="16" t="s">
        <v>21</v>
      </c>
      <c r="F170" s="2">
        <v>1570</v>
      </c>
      <c r="G170" s="2">
        <v>6</v>
      </c>
      <c r="H170" s="2">
        <f t="shared" si="8"/>
        <v>9</v>
      </c>
      <c r="I170" s="2">
        <f t="shared" si="9"/>
        <v>14130</v>
      </c>
      <c r="J170" s="16">
        <f t="shared" si="10"/>
        <v>706.5</v>
      </c>
      <c r="K170" s="2">
        <f t="shared" si="11"/>
        <v>13423.5</v>
      </c>
    </row>
    <row r="171" spans="1:11" ht="16.5" x14ac:dyDescent="0.3">
      <c r="A171" s="4">
        <v>42948</v>
      </c>
      <c r="B171" s="2" t="s">
        <v>32</v>
      </c>
      <c r="C171" s="2" t="s">
        <v>12</v>
      </c>
      <c r="D171" s="2" t="s">
        <v>30</v>
      </c>
      <c r="E171" s="16" t="s">
        <v>21</v>
      </c>
      <c r="F171" s="2">
        <v>1874</v>
      </c>
      <c r="G171" s="2">
        <v>6</v>
      </c>
      <c r="H171" s="2">
        <f t="shared" si="8"/>
        <v>9</v>
      </c>
      <c r="I171" s="2">
        <f t="shared" si="9"/>
        <v>16866</v>
      </c>
      <c r="J171" s="16">
        <f t="shared" si="10"/>
        <v>843.30000000000007</v>
      </c>
      <c r="K171" s="2">
        <f t="shared" si="11"/>
        <v>16022.7</v>
      </c>
    </row>
    <row r="172" spans="1:11" ht="16.5" x14ac:dyDescent="0.3">
      <c r="A172" s="4">
        <v>42948</v>
      </c>
      <c r="B172" s="2" t="s">
        <v>32</v>
      </c>
      <c r="C172" s="2" t="s">
        <v>23</v>
      </c>
      <c r="D172" s="2" t="s">
        <v>30</v>
      </c>
      <c r="E172" s="16" t="s">
        <v>17</v>
      </c>
      <c r="F172" s="2">
        <v>1642</v>
      </c>
      <c r="G172" s="2">
        <v>6</v>
      </c>
      <c r="H172" s="2">
        <f t="shared" si="8"/>
        <v>21</v>
      </c>
      <c r="I172" s="2">
        <f t="shared" si="9"/>
        <v>34482</v>
      </c>
      <c r="J172" s="16">
        <f t="shared" si="10"/>
        <v>1724.1000000000001</v>
      </c>
      <c r="K172" s="2">
        <f t="shared" si="11"/>
        <v>32757.9</v>
      </c>
    </row>
    <row r="173" spans="1:11" ht="16.5" x14ac:dyDescent="0.3">
      <c r="A173" s="4">
        <v>43009</v>
      </c>
      <c r="B173" s="2" t="s">
        <v>11</v>
      </c>
      <c r="C173" s="2" t="s">
        <v>15</v>
      </c>
      <c r="D173" s="2" t="s">
        <v>28</v>
      </c>
      <c r="E173" s="16" t="s">
        <v>17</v>
      </c>
      <c r="F173" s="2">
        <v>1945</v>
      </c>
      <c r="G173" s="2">
        <v>120</v>
      </c>
      <c r="H173" s="2">
        <f t="shared" si="8"/>
        <v>135</v>
      </c>
      <c r="I173" s="2">
        <f t="shared" si="9"/>
        <v>262575</v>
      </c>
      <c r="J173" s="16">
        <f t="shared" si="10"/>
        <v>13128.75</v>
      </c>
      <c r="K173" s="2">
        <f t="shared" si="11"/>
        <v>249446.25</v>
      </c>
    </row>
    <row r="174" spans="1:11" ht="16.5" x14ac:dyDescent="0.3">
      <c r="A174" s="4">
        <v>42856</v>
      </c>
      <c r="B174" s="2" t="s">
        <v>37</v>
      </c>
      <c r="C174" s="2" t="s">
        <v>12</v>
      </c>
      <c r="D174" s="2" t="s">
        <v>26</v>
      </c>
      <c r="E174" s="16" t="s">
        <v>21</v>
      </c>
      <c r="F174" s="2">
        <v>831</v>
      </c>
      <c r="G174" s="2">
        <v>2</v>
      </c>
      <c r="H174" s="2">
        <f t="shared" si="8"/>
        <v>5</v>
      </c>
      <c r="I174" s="2">
        <f t="shared" si="9"/>
        <v>4155</v>
      </c>
      <c r="J174" s="16">
        <f t="shared" si="10"/>
        <v>207.75</v>
      </c>
      <c r="K174" s="2">
        <f t="shared" si="11"/>
        <v>3947.25</v>
      </c>
    </row>
    <row r="175" spans="1:11" ht="16.5" x14ac:dyDescent="0.3">
      <c r="A175" s="4">
        <v>42979</v>
      </c>
      <c r="B175" s="2" t="s">
        <v>25</v>
      </c>
      <c r="C175" s="2" t="s">
        <v>23</v>
      </c>
      <c r="D175" s="2" t="s">
        <v>22</v>
      </c>
      <c r="E175" s="16" t="s">
        <v>21</v>
      </c>
      <c r="F175" s="2">
        <v>1760</v>
      </c>
      <c r="G175" s="2">
        <v>3</v>
      </c>
      <c r="H175" s="2">
        <f t="shared" si="8"/>
        <v>6</v>
      </c>
      <c r="I175" s="2">
        <f t="shared" si="9"/>
        <v>10560</v>
      </c>
      <c r="J175" s="16">
        <f t="shared" si="10"/>
        <v>528</v>
      </c>
      <c r="K175" s="2">
        <f t="shared" si="11"/>
        <v>10032</v>
      </c>
    </row>
    <row r="176" spans="1:11" ht="16.5" x14ac:dyDescent="0.3">
      <c r="A176" s="4">
        <v>42826</v>
      </c>
      <c r="B176" s="2" t="s">
        <v>31</v>
      </c>
      <c r="C176" s="2" t="s">
        <v>12</v>
      </c>
      <c r="D176" s="2" t="s">
        <v>29</v>
      </c>
      <c r="E176" s="16" t="s">
        <v>21</v>
      </c>
      <c r="F176" s="2">
        <v>3850.5</v>
      </c>
      <c r="G176" s="2">
        <v>40</v>
      </c>
      <c r="H176" s="2">
        <f t="shared" si="8"/>
        <v>43</v>
      </c>
      <c r="I176" s="2">
        <f t="shared" si="9"/>
        <v>165571.5</v>
      </c>
      <c r="J176" s="16">
        <f t="shared" si="10"/>
        <v>8278.5750000000007</v>
      </c>
      <c r="K176" s="2">
        <f t="shared" si="11"/>
        <v>157292.92499999999</v>
      </c>
    </row>
    <row r="177" spans="1:11" ht="16.5" x14ac:dyDescent="0.3">
      <c r="A177" s="4">
        <v>42736</v>
      </c>
      <c r="B177" s="2" t="s">
        <v>11</v>
      </c>
      <c r="C177" s="2" t="s">
        <v>15</v>
      </c>
      <c r="D177" s="2" t="s">
        <v>35</v>
      </c>
      <c r="E177" s="16" t="s">
        <v>21</v>
      </c>
      <c r="F177" s="2">
        <v>2479</v>
      </c>
      <c r="G177" s="2">
        <v>25</v>
      </c>
      <c r="H177" s="2">
        <f t="shared" si="8"/>
        <v>28</v>
      </c>
      <c r="I177" s="2">
        <f t="shared" si="9"/>
        <v>69412</v>
      </c>
      <c r="J177" s="16">
        <f t="shared" si="10"/>
        <v>3470.6000000000004</v>
      </c>
      <c r="K177" s="2">
        <f t="shared" si="11"/>
        <v>65941.399999999994</v>
      </c>
    </row>
    <row r="178" spans="1:11" ht="16.5" x14ac:dyDescent="0.3">
      <c r="A178" s="4">
        <v>43009</v>
      </c>
      <c r="B178" s="2" t="s">
        <v>11</v>
      </c>
      <c r="C178" s="2" t="s">
        <v>23</v>
      </c>
      <c r="D178" s="2" t="s">
        <v>36</v>
      </c>
      <c r="E178" s="16" t="s">
        <v>24</v>
      </c>
      <c r="F178" s="2">
        <v>2031</v>
      </c>
      <c r="G178" s="2">
        <v>10</v>
      </c>
      <c r="H178" s="2">
        <f t="shared" si="8"/>
        <v>20</v>
      </c>
      <c r="I178" s="2">
        <f t="shared" si="9"/>
        <v>40620</v>
      </c>
      <c r="J178" s="16">
        <f t="shared" si="10"/>
        <v>2031</v>
      </c>
      <c r="K178" s="2">
        <f t="shared" si="11"/>
        <v>38589</v>
      </c>
    </row>
    <row r="179" spans="1:11" ht="16.5" x14ac:dyDescent="0.3">
      <c r="A179" s="4">
        <v>43009</v>
      </c>
      <c r="B179" s="2" t="s">
        <v>11</v>
      </c>
      <c r="C179" s="2" t="s">
        <v>23</v>
      </c>
      <c r="D179" s="2" t="s">
        <v>13</v>
      </c>
      <c r="E179" s="16" t="s">
        <v>14</v>
      </c>
      <c r="F179" s="2">
        <v>2031</v>
      </c>
      <c r="G179" s="2">
        <v>30</v>
      </c>
      <c r="H179" s="2">
        <f t="shared" si="8"/>
        <v>50</v>
      </c>
      <c r="I179" s="2">
        <f t="shared" si="9"/>
        <v>101550</v>
      </c>
      <c r="J179" s="16">
        <f t="shared" si="10"/>
        <v>5077.5</v>
      </c>
      <c r="K179" s="2">
        <f t="shared" si="11"/>
        <v>96472.5</v>
      </c>
    </row>
    <row r="180" spans="1:11" ht="16.5" x14ac:dyDescent="0.3">
      <c r="A180" s="4">
        <v>43070</v>
      </c>
      <c r="B180" s="2" t="s">
        <v>25</v>
      </c>
      <c r="C180" s="2" t="s">
        <v>19</v>
      </c>
      <c r="D180" s="2" t="s">
        <v>20</v>
      </c>
      <c r="E180" s="16" t="s">
        <v>14</v>
      </c>
      <c r="F180" s="2">
        <v>2261</v>
      </c>
      <c r="G180" s="2">
        <v>5</v>
      </c>
      <c r="H180" s="2">
        <f t="shared" si="8"/>
        <v>25</v>
      </c>
      <c r="I180" s="2">
        <f t="shared" si="9"/>
        <v>56525</v>
      </c>
      <c r="J180" s="16">
        <f t="shared" si="10"/>
        <v>2826.25</v>
      </c>
      <c r="K180" s="2">
        <f t="shared" si="11"/>
        <v>53698.75</v>
      </c>
    </row>
    <row r="181" spans="1:11" ht="16.5" x14ac:dyDescent="0.3">
      <c r="A181" s="4">
        <v>42979</v>
      </c>
      <c r="B181" s="2" t="s">
        <v>25</v>
      </c>
      <c r="C181" s="2" t="s">
        <v>34</v>
      </c>
      <c r="D181" s="2" t="s">
        <v>29</v>
      </c>
      <c r="E181" s="16" t="s">
        <v>21</v>
      </c>
      <c r="F181" s="2">
        <v>736</v>
      </c>
      <c r="G181" s="2">
        <v>40</v>
      </c>
      <c r="H181" s="2">
        <f t="shared" si="8"/>
        <v>43</v>
      </c>
      <c r="I181" s="2">
        <f t="shared" si="9"/>
        <v>31648</v>
      </c>
      <c r="J181" s="16">
        <f t="shared" si="10"/>
        <v>1582.4</v>
      </c>
      <c r="K181" s="2">
        <f t="shared" si="11"/>
        <v>30065.599999999999</v>
      </c>
    </row>
    <row r="182" spans="1:11" ht="16.5" x14ac:dyDescent="0.3">
      <c r="A182" s="4">
        <v>43009</v>
      </c>
      <c r="B182" s="2" t="s">
        <v>11</v>
      </c>
      <c r="C182" s="2" t="s">
        <v>12</v>
      </c>
      <c r="D182" s="2" t="s">
        <v>30</v>
      </c>
      <c r="E182" s="16" t="s">
        <v>21</v>
      </c>
      <c r="F182" s="2">
        <v>2851</v>
      </c>
      <c r="G182" s="2">
        <v>6</v>
      </c>
      <c r="H182" s="2">
        <f t="shared" si="8"/>
        <v>9</v>
      </c>
      <c r="I182" s="2">
        <f t="shared" si="9"/>
        <v>25659</v>
      </c>
      <c r="J182" s="16">
        <f t="shared" si="10"/>
        <v>1282.95</v>
      </c>
      <c r="K182" s="2">
        <f t="shared" si="11"/>
        <v>24376.05</v>
      </c>
    </row>
    <row r="183" spans="1:11" ht="16.5" x14ac:dyDescent="0.3">
      <c r="A183" s="4">
        <v>43009</v>
      </c>
      <c r="B183" s="2" t="s">
        <v>11</v>
      </c>
      <c r="C183" s="2" t="s">
        <v>15</v>
      </c>
      <c r="D183" s="2" t="s">
        <v>22</v>
      </c>
      <c r="E183" s="16" t="s">
        <v>17</v>
      </c>
      <c r="F183" s="2">
        <v>2021</v>
      </c>
      <c r="G183" s="2">
        <v>3</v>
      </c>
      <c r="H183" s="2">
        <f t="shared" si="8"/>
        <v>18</v>
      </c>
      <c r="I183" s="2">
        <f t="shared" si="9"/>
        <v>36378</v>
      </c>
      <c r="J183" s="16">
        <f t="shared" si="10"/>
        <v>1818.9</v>
      </c>
      <c r="K183" s="2">
        <f t="shared" si="11"/>
        <v>34559.1</v>
      </c>
    </row>
    <row r="184" spans="1:11" ht="16.5" x14ac:dyDescent="0.3">
      <c r="A184" s="4">
        <v>43070</v>
      </c>
      <c r="B184" s="2" t="s">
        <v>25</v>
      </c>
      <c r="C184" s="2" t="s">
        <v>34</v>
      </c>
      <c r="D184" s="2" t="s">
        <v>16</v>
      </c>
      <c r="E184" s="16" t="s">
        <v>17</v>
      </c>
      <c r="F184" s="2">
        <v>274</v>
      </c>
      <c r="G184" s="2">
        <v>4</v>
      </c>
      <c r="H184" s="2">
        <f t="shared" si="8"/>
        <v>19</v>
      </c>
      <c r="I184" s="2">
        <f t="shared" si="9"/>
        <v>5206</v>
      </c>
      <c r="J184" s="16">
        <f t="shared" si="10"/>
        <v>260.3</v>
      </c>
      <c r="K184" s="2">
        <f t="shared" si="11"/>
        <v>4945.7</v>
      </c>
    </row>
    <row r="185" spans="1:11" ht="16.5" x14ac:dyDescent="0.3">
      <c r="A185" s="4">
        <v>42795</v>
      </c>
      <c r="B185" s="2" t="s">
        <v>27</v>
      </c>
      <c r="C185" s="2" t="s">
        <v>12</v>
      </c>
      <c r="D185" s="2" t="s">
        <v>16</v>
      </c>
      <c r="E185" s="16" t="s">
        <v>21</v>
      </c>
      <c r="F185" s="2">
        <v>1967</v>
      </c>
      <c r="G185" s="2">
        <v>4</v>
      </c>
      <c r="H185" s="2">
        <f t="shared" si="8"/>
        <v>7</v>
      </c>
      <c r="I185" s="2">
        <f t="shared" si="9"/>
        <v>13769</v>
      </c>
      <c r="J185" s="16">
        <f t="shared" si="10"/>
        <v>688.45</v>
      </c>
      <c r="K185" s="2">
        <f t="shared" si="11"/>
        <v>13080.55</v>
      </c>
    </row>
    <row r="186" spans="1:11" ht="16.5" x14ac:dyDescent="0.3">
      <c r="A186" s="4">
        <v>42948</v>
      </c>
      <c r="B186" s="2" t="s">
        <v>32</v>
      </c>
      <c r="C186" s="2" t="s">
        <v>15</v>
      </c>
      <c r="D186" s="2" t="s">
        <v>30</v>
      </c>
      <c r="E186" s="16" t="s">
        <v>21</v>
      </c>
      <c r="F186" s="2">
        <v>1859</v>
      </c>
      <c r="G186" s="2">
        <v>6</v>
      </c>
      <c r="H186" s="2">
        <f t="shared" si="8"/>
        <v>9</v>
      </c>
      <c r="I186" s="2">
        <f t="shared" si="9"/>
        <v>16731</v>
      </c>
      <c r="J186" s="16">
        <f t="shared" si="10"/>
        <v>836.55000000000007</v>
      </c>
      <c r="K186" s="2">
        <f t="shared" si="11"/>
        <v>15894.45</v>
      </c>
    </row>
    <row r="187" spans="1:11" ht="16.5" x14ac:dyDescent="0.3">
      <c r="A187" s="4">
        <v>43009</v>
      </c>
      <c r="B187" s="2" t="s">
        <v>11</v>
      </c>
      <c r="C187" s="2" t="s">
        <v>12</v>
      </c>
      <c r="D187" s="2" t="s">
        <v>26</v>
      </c>
      <c r="E187" s="16" t="s">
        <v>21</v>
      </c>
      <c r="F187" s="2">
        <v>2851</v>
      </c>
      <c r="G187" s="2">
        <v>2</v>
      </c>
      <c r="H187" s="2">
        <f t="shared" si="8"/>
        <v>5</v>
      </c>
      <c r="I187" s="2">
        <f t="shared" si="9"/>
        <v>14255</v>
      </c>
      <c r="J187" s="16">
        <f t="shared" si="10"/>
        <v>712.75</v>
      </c>
      <c r="K187" s="2">
        <f t="shared" si="11"/>
        <v>13542.25</v>
      </c>
    </row>
    <row r="188" spans="1:11" ht="16.5" x14ac:dyDescent="0.3">
      <c r="A188" s="4">
        <v>43009</v>
      </c>
      <c r="B188" s="2" t="s">
        <v>11</v>
      </c>
      <c r="C188" s="2" t="s">
        <v>15</v>
      </c>
      <c r="D188" s="2" t="s">
        <v>29</v>
      </c>
      <c r="E188" s="16" t="s">
        <v>24</v>
      </c>
      <c r="F188" s="2">
        <v>2021</v>
      </c>
      <c r="G188" s="2">
        <v>40</v>
      </c>
      <c r="H188" s="2">
        <f t="shared" si="8"/>
        <v>50</v>
      </c>
      <c r="I188" s="2">
        <f t="shared" si="9"/>
        <v>101050</v>
      </c>
      <c r="J188" s="16">
        <f t="shared" si="10"/>
        <v>5052.5</v>
      </c>
      <c r="K188" s="2">
        <f t="shared" si="11"/>
        <v>95997.5</v>
      </c>
    </row>
    <row r="189" spans="1:11" ht="16.5" x14ac:dyDescent="0.3">
      <c r="A189" s="4">
        <v>43070</v>
      </c>
      <c r="B189" s="2" t="s">
        <v>25</v>
      </c>
      <c r="C189" s="2" t="s">
        <v>23</v>
      </c>
      <c r="D189" s="2" t="s">
        <v>16</v>
      </c>
      <c r="E189" s="16" t="s">
        <v>14</v>
      </c>
      <c r="F189" s="2">
        <v>1138</v>
      </c>
      <c r="G189" s="2">
        <v>4</v>
      </c>
      <c r="H189" s="2">
        <f t="shared" si="8"/>
        <v>24</v>
      </c>
      <c r="I189" s="2">
        <f t="shared" si="9"/>
        <v>27312</v>
      </c>
      <c r="J189" s="16">
        <f t="shared" si="10"/>
        <v>1365.6000000000001</v>
      </c>
      <c r="K189" s="2">
        <f t="shared" si="11"/>
        <v>25946.400000000001</v>
      </c>
    </row>
    <row r="190" spans="1:11" ht="16.5" x14ac:dyDescent="0.3">
      <c r="A190" s="4">
        <v>42736</v>
      </c>
      <c r="B190" s="2" t="s">
        <v>11</v>
      </c>
      <c r="C190" s="2" t="s">
        <v>12</v>
      </c>
      <c r="D190" s="2" t="s">
        <v>20</v>
      </c>
      <c r="E190" s="16" t="s">
        <v>14</v>
      </c>
      <c r="F190" s="2">
        <v>4251</v>
      </c>
      <c r="G190" s="2">
        <v>5</v>
      </c>
      <c r="H190" s="2">
        <f t="shared" si="8"/>
        <v>25</v>
      </c>
      <c r="I190" s="2">
        <f t="shared" si="9"/>
        <v>106275</v>
      </c>
      <c r="J190" s="16">
        <f t="shared" si="10"/>
        <v>5313.75</v>
      </c>
      <c r="K190" s="2">
        <f t="shared" si="11"/>
        <v>100961.25</v>
      </c>
    </row>
    <row r="191" spans="1:11" ht="16.5" x14ac:dyDescent="0.3">
      <c r="A191" s="4">
        <v>42795</v>
      </c>
      <c r="B191" s="2" t="s">
        <v>27</v>
      </c>
      <c r="C191" s="2" t="s">
        <v>15</v>
      </c>
      <c r="D191" s="2" t="s">
        <v>30</v>
      </c>
      <c r="E191" s="16" t="s">
        <v>21</v>
      </c>
      <c r="F191" s="2">
        <v>795</v>
      </c>
      <c r="G191" s="2">
        <v>6</v>
      </c>
      <c r="H191" s="2">
        <f t="shared" si="8"/>
        <v>9</v>
      </c>
      <c r="I191" s="2">
        <f t="shared" si="9"/>
        <v>7155</v>
      </c>
      <c r="J191" s="16">
        <f t="shared" si="10"/>
        <v>357.75</v>
      </c>
      <c r="K191" s="2">
        <f t="shared" si="11"/>
        <v>6797.25</v>
      </c>
    </row>
    <row r="192" spans="1:11" ht="16.5" x14ac:dyDescent="0.3">
      <c r="A192" s="4">
        <v>42826</v>
      </c>
      <c r="B192" s="2" t="s">
        <v>31</v>
      </c>
      <c r="C192" s="2" t="s">
        <v>15</v>
      </c>
      <c r="D192" s="2" t="s">
        <v>20</v>
      </c>
      <c r="E192" s="16" t="s">
        <v>21</v>
      </c>
      <c r="F192" s="2">
        <v>1414.5</v>
      </c>
      <c r="G192" s="2">
        <v>5</v>
      </c>
      <c r="H192" s="2">
        <f t="shared" si="8"/>
        <v>8</v>
      </c>
      <c r="I192" s="2">
        <f t="shared" si="9"/>
        <v>11316</v>
      </c>
      <c r="J192" s="16">
        <f t="shared" si="10"/>
        <v>565.80000000000007</v>
      </c>
      <c r="K192" s="2">
        <f t="shared" si="11"/>
        <v>10750.2</v>
      </c>
    </row>
    <row r="193" spans="1:11" ht="16.5" x14ac:dyDescent="0.3">
      <c r="A193" s="4">
        <v>42856</v>
      </c>
      <c r="B193" s="2" t="s">
        <v>37</v>
      </c>
      <c r="C193" s="2" t="s">
        <v>34</v>
      </c>
      <c r="D193" s="2" t="s">
        <v>28</v>
      </c>
      <c r="E193" s="16" t="s">
        <v>17</v>
      </c>
      <c r="F193" s="2">
        <v>2918</v>
      </c>
      <c r="G193" s="2">
        <v>120</v>
      </c>
      <c r="H193" s="2">
        <f t="shared" si="8"/>
        <v>135</v>
      </c>
      <c r="I193" s="2">
        <f t="shared" si="9"/>
        <v>393930</v>
      </c>
      <c r="J193" s="16">
        <f t="shared" si="10"/>
        <v>19696.5</v>
      </c>
      <c r="K193" s="2">
        <f t="shared" si="11"/>
        <v>374233.5</v>
      </c>
    </row>
    <row r="194" spans="1:11" ht="16.5" x14ac:dyDescent="0.3">
      <c r="A194" s="4">
        <v>42917</v>
      </c>
      <c r="B194" s="2" t="s">
        <v>31</v>
      </c>
      <c r="C194" s="2" t="s">
        <v>34</v>
      </c>
      <c r="D194" s="2" t="s">
        <v>20</v>
      </c>
      <c r="E194" s="16" t="s">
        <v>17</v>
      </c>
      <c r="F194" s="2">
        <v>3450</v>
      </c>
      <c r="G194" s="2">
        <v>5</v>
      </c>
      <c r="H194" s="2">
        <f t="shared" si="8"/>
        <v>20</v>
      </c>
      <c r="I194" s="2">
        <f t="shared" si="9"/>
        <v>69000</v>
      </c>
      <c r="J194" s="16">
        <f t="shared" si="10"/>
        <v>3450</v>
      </c>
      <c r="K194" s="2">
        <f t="shared" si="11"/>
        <v>65550</v>
      </c>
    </row>
    <row r="195" spans="1:11" ht="16.5" x14ac:dyDescent="0.3">
      <c r="A195" s="4">
        <v>42917</v>
      </c>
      <c r="B195" s="2" t="s">
        <v>31</v>
      </c>
      <c r="C195" s="2" t="s">
        <v>19</v>
      </c>
      <c r="D195" s="2" t="s">
        <v>30</v>
      </c>
      <c r="E195" s="16" t="s">
        <v>21</v>
      </c>
      <c r="F195" s="2">
        <v>2988</v>
      </c>
      <c r="G195" s="2">
        <v>6</v>
      </c>
      <c r="H195" s="2">
        <f t="shared" ref="H195:H258" si="12">IF(E195="High",G195+20,IF(E195="Medium",G195+15,IF(E195="Low",G195+10,G195+3)))</f>
        <v>9</v>
      </c>
      <c r="I195" s="2">
        <f t="shared" ref="I195:I258" si="13">F195*H195</f>
        <v>26892</v>
      </c>
      <c r="J195" s="16">
        <f t="shared" ref="J195:J258" si="14">IF(AND(D195="Note Book",F195&gt;2500),I195*12%,IF(AND(E195="Long Note Book",N195&lt;1800),I195*8%,I195*5%))</f>
        <v>1344.6000000000001</v>
      </c>
      <c r="K195" s="2">
        <f t="shared" ref="K195:K258" si="15">I195-J195</f>
        <v>25547.4</v>
      </c>
    </row>
    <row r="196" spans="1:11" ht="16.5" x14ac:dyDescent="0.3">
      <c r="A196" s="4">
        <v>42979</v>
      </c>
      <c r="B196" s="2" t="s">
        <v>25</v>
      </c>
      <c r="C196" s="2" t="s">
        <v>12</v>
      </c>
      <c r="D196" s="2" t="s">
        <v>36</v>
      </c>
      <c r="E196" s="16" t="s">
        <v>21</v>
      </c>
      <c r="F196" s="2">
        <v>218</v>
      </c>
      <c r="G196" s="2">
        <v>10</v>
      </c>
      <c r="H196" s="2">
        <f t="shared" si="12"/>
        <v>13</v>
      </c>
      <c r="I196" s="2">
        <f t="shared" si="13"/>
        <v>2834</v>
      </c>
      <c r="J196" s="16">
        <f t="shared" si="14"/>
        <v>141.70000000000002</v>
      </c>
      <c r="K196" s="2">
        <f t="shared" si="15"/>
        <v>2692.3</v>
      </c>
    </row>
    <row r="197" spans="1:11" ht="16.5" x14ac:dyDescent="0.3">
      <c r="A197" s="4">
        <v>42979</v>
      </c>
      <c r="B197" s="2" t="s">
        <v>25</v>
      </c>
      <c r="C197" s="2" t="s">
        <v>12</v>
      </c>
      <c r="D197" s="2" t="s">
        <v>29</v>
      </c>
      <c r="E197" s="16" t="s">
        <v>21</v>
      </c>
      <c r="F197" s="2">
        <v>2074</v>
      </c>
      <c r="G197" s="2">
        <v>40</v>
      </c>
      <c r="H197" s="2">
        <f t="shared" si="12"/>
        <v>43</v>
      </c>
      <c r="I197" s="2">
        <f t="shared" si="13"/>
        <v>89182</v>
      </c>
      <c r="J197" s="16">
        <f t="shared" si="14"/>
        <v>4459.1000000000004</v>
      </c>
      <c r="K197" s="2">
        <f t="shared" si="15"/>
        <v>84722.9</v>
      </c>
    </row>
    <row r="198" spans="1:11" ht="16.5" x14ac:dyDescent="0.3">
      <c r="A198" s="4">
        <v>42979</v>
      </c>
      <c r="B198" s="2" t="s">
        <v>25</v>
      </c>
      <c r="C198" s="2" t="s">
        <v>34</v>
      </c>
      <c r="D198" s="2" t="s">
        <v>35</v>
      </c>
      <c r="E198" s="16" t="s">
        <v>21</v>
      </c>
      <c r="F198" s="2">
        <v>1056</v>
      </c>
      <c r="G198" s="2">
        <v>25</v>
      </c>
      <c r="H198" s="2">
        <f t="shared" si="12"/>
        <v>28</v>
      </c>
      <c r="I198" s="2">
        <f t="shared" si="13"/>
        <v>29568</v>
      </c>
      <c r="J198" s="16">
        <f t="shared" si="14"/>
        <v>1478.4</v>
      </c>
      <c r="K198" s="2">
        <f t="shared" si="15"/>
        <v>28089.599999999999</v>
      </c>
    </row>
    <row r="199" spans="1:11" ht="16.5" x14ac:dyDescent="0.3">
      <c r="A199" s="4">
        <v>43009</v>
      </c>
      <c r="B199" s="2" t="s">
        <v>11</v>
      </c>
      <c r="C199" s="2" t="s">
        <v>34</v>
      </c>
      <c r="D199" s="2" t="s">
        <v>20</v>
      </c>
      <c r="E199" s="16" t="s">
        <v>24</v>
      </c>
      <c r="F199" s="2">
        <v>671</v>
      </c>
      <c r="G199" s="2">
        <v>5</v>
      </c>
      <c r="H199" s="2">
        <f t="shared" si="12"/>
        <v>15</v>
      </c>
      <c r="I199" s="2">
        <f t="shared" si="13"/>
        <v>10065</v>
      </c>
      <c r="J199" s="16">
        <f t="shared" si="14"/>
        <v>503.25</v>
      </c>
      <c r="K199" s="2">
        <f t="shared" si="15"/>
        <v>9561.75</v>
      </c>
    </row>
    <row r="200" spans="1:11" ht="16.5" x14ac:dyDescent="0.3">
      <c r="A200" s="4">
        <v>43009</v>
      </c>
      <c r="B200" s="2" t="s">
        <v>11</v>
      </c>
      <c r="C200" s="2" t="s">
        <v>23</v>
      </c>
      <c r="D200" s="2" t="s">
        <v>16</v>
      </c>
      <c r="E200" s="16" t="s">
        <v>14</v>
      </c>
      <c r="F200" s="2">
        <v>1514</v>
      </c>
      <c r="G200" s="2">
        <v>4</v>
      </c>
      <c r="H200" s="2">
        <f t="shared" si="12"/>
        <v>24</v>
      </c>
      <c r="I200" s="2">
        <f t="shared" si="13"/>
        <v>36336</v>
      </c>
      <c r="J200" s="16">
        <f t="shared" si="14"/>
        <v>1816.8000000000002</v>
      </c>
      <c r="K200" s="2">
        <f t="shared" si="15"/>
        <v>34519.199999999997</v>
      </c>
    </row>
    <row r="201" spans="1:11" ht="16.5" x14ac:dyDescent="0.3">
      <c r="A201" s="4">
        <v>43070</v>
      </c>
      <c r="B201" s="2" t="s">
        <v>25</v>
      </c>
      <c r="C201" s="2" t="s">
        <v>34</v>
      </c>
      <c r="D201" s="2" t="s">
        <v>36</v>
      </c>
      <c r="E201" s="16" t="s">
        <v>14</v>
      </c>
      <c r="F201" s="2">
        <v>274</v>
      </c>
      <c r="G201" s="2">
        <v>10</v>
      </c>
      <c r="H201" s="2">
        <f t="shared" si="12"/>
        <v>30</v>
      </c>
      <c r="I201" s="2">
        <f t="shared" si="13"/>
        <v>8220</v>
      </c>
      <c r="J201" s="16">
        <f t="shared" si="14"/>
        <v>411</v>
      </c>
      <c r="K201" s="2">
        <f t="shared" si="15"/>
        <v>7809</v>
      </c>
    </row>
    <row r="202" spans="1:11" ht="16.5" x14ac:dyDescent="0.3">
      <c r="A202" s="4">
        <v>43070</v>
      </c>
      <c r="B202" s="2" t="s">
        <v>25</v>
      </c>
      <c r="C202" s="2" t="s">
        <v>23</v>
      </c>
      <c r="D202" s="2" t="s">
        <v>13</v>
      </c>
      <c r="E202" s="16" t="s">
        <v>21</v>
      </c>
      <c r="F202" s="2">
        <v>1138</v>
      </c>
      <c r="G202" s="2">
        <v>30</v>
      </c>
      <c r="H202" s="2">
        <f t="shared" si="12"/>
        <v>33</v>
      </c>
      <c r="I202" s="2">
        <f t="shared" si="13"/>
        <v>37554</v>
      </c>
      <c r="J202" s="16">
        <f t="shared" si="14"/>
        <v>1877.7</v>
      </c>
      <c r="K202" s="2">
        <f t="shared" si="15"/>
        <v>35676.300000000003</v>
      </c>
    </row>
    <row r="203" spans="1:11" ht="16.5" x14ac:dyDescent="0.3">
      <c r="A203" s="4">
        <v>42795</v>
      </c>
      <c r="B203" s="2" t="s">
        <v>27</v>
      </c>
      <c r="C203" s="2" t="s">
        <v>34</v>
      </c>
      <c r="D203" s="2" t="s">
        <v>33</v>
      </c>
      <c r="E203" s="16" t="s">
        <v>21</v>
      </c>
      <c r="F203" s="2">
        <v>1465</v>
      </c>
      <c r="G203" s="2">
        <v>20</v>
      </c>
      <c r="H203" s="2">
        <f t="shared" si="12"/>
        <v>23</v>
      </c>
      <c r="I203" s="2">
        <f t="shared" si="13"/>
        <v>33695</v>
      </c>
      <c r="J203" s="16">
        <f t="shared" si="14"/>
        <v>1684.75</v>
      </c>
      <c r="K203" s="2">
        <f t="shared" si="15"/>
        <v>32010.25</v>
      </c>
    </row>
    <row r="204" spans="1:11" ht="16.5" x14ac:dyDescent="0.3">
      <c r="A204" s="4">
        <v>42979</v>
      </c>
      <c r="B204" s="2" t="s">
        <v>25</v>
      </c>
      <c r="C204" s="2" t="s">
        <v>12</v>
      </c>
      <c r="D204" s="2" t="s">
        <v>13</v>
      </c>
      <c r="E204" s="16" t="s">
        <v>17</v>
      </c>
      <c r="F204" s="2">
        <v>2646</v>
      </c>
      <c r="G204" s="2">
        <v>30</v>
      </c>
      <c r="H204" s="2">
        <f t="shared" si="12"/>
        <v>45</v>
      </c>
      <c r="I204" s="2">
        <f t="shared" si="13"/>
        <v>119070</v>
      </c>
      <c r="J204" s="16">
        <f t="shared" si="14"/>
        <v>14288.4</v>
      </c>
      <c r="K204" s="2">
        <f t="shared" si="15"/>
        <v>104781.6</v>
      </c>
    </row>
    <row r="205" spans="1:11" ht="16.5" x14ac:dyDescent="0.3">
      <c r="A205" s="4">
        <v>43009</v>
      </c>
      <c r="B205" s="2" t="s">
        <v>11</v>
      </c>
      <c r="C205" s="2" t="s">
        <v>19</v>
      </c>
      <c r="D205" s="2" t="s">
        <v>26</v>
      </c>
      <c r="E205" s="16" t="s">
        <v>17</v>
      </c>
      <c r="F205" s="2">
        <v>2177</v>
      </c>
      <c r="G205" s="2">
        <v>2</v>
      </c>
      <c r="H205" s="2">
        <f t="shared" si="12"/>
        <v>17</v>
      </c>
      <c r="I205" s="2">
        <f t="shared" si="13"/>
        <v>37009</v>
      </c>
      <c r="J205" s="16">
        <f t="shared" si="14"/>
        <v>1850.45</v>
      </c>
      <c r="K205" s="2">
        <f t="shared" si="15"/>
        <v>35158.550000000003</v>
      </c>
    </row>
    <row r="206" spans="1:11" ht="16.5" x14ac:dyDescent="0.3">
      <c r="A206" s="4">
        <v>42856</v>
      </c>
      <c r="B206" s="2" t="s">
        <v>37</v>
      </c>
      <c r="C206" s="2" t="s">
        <v>19</v>
      </c>
      <c r="D206" s="2" t="s">
        <v>35</v>
      </c>
      <c r="E206" s="16" t="s">
        <v>21</v>
      </c>
      <c r="F206" s="2">
        <v>866</v>
      </c>
      <c r="G206" s="2">
        <v>25</v>
      </c>
      <c r="H206" s="2">
        <f t="shared" si="12"/>
        <v>28</v>
      </c>
      <c r="I206" s="2">
        <f t="shared" si="13"/>
        <v>24248</v>
      </c>
      <c r="J206" s="16">
        <f t="shared" si="14"/>
        <v>1212.4000000000001</v>
      </c>
      <c r="K206" s="2">
        <f t="shared" si="15"/>
        <v>23035.599999999999</v>
      </c>
    </row>
    <row r="207" spans="1:11" ht="16.5" x14ac:dyDescent="0.3">
      <c r="A207" s="4">
        <v>42979</v>
      </c>
      <c r="B207" s="2" t="s">
        <v>25</v>
      </c>
      <c r="C207" s="2" t="s">
        <v>34</v>
      </c>
      <c r="D207" s="2" t="s">
        <v>16</v>
      </c>
      <c r="E207" s="16" t="s">
        <v>21</v>
      </c>
      <c r="F207" s="2">
        <v>349</v>
      </c>
      <c r="G207" s="2">
        <v>4</v>
      </c>
      <c r="H207" s="2">
        <f t="shared" si="12"/>
        <v>7</v>
      </c>
      <c r="I207" s="2">
        <f t="shared" si="13"/>
        <v>2443</v>
      </c>
      <c r="J207" s="16">
        <f t="shared" si="14"/>
        <v>122.15</v>
      </c>
      <c r="K207" s="2">
        <f t="shared" si="15"/>
        <v>2320.85</v>
      </c>
    </row>
    <row r="208" spans="1:11" ht="16.5" x14ac:dyDescent="0.3">
      <c r="A208" s="4">
        <v>43009</v>
      </c>
      <c r="B208" s="2" t="s">
        <v>11</v>
      </c>
      <c r="C208" s="2" t="s">
        <v>19</v>
      </c>
      <c r="D208" s="2" t="s">
        <v>26</v>
      </c>
      <c r="E208" s="16" t="s">
        <v>21</v>
      </c>
      <c r="F208" s="2">
        <v>2177</v>
      </c>
      <c r="G208" s="2">
        <v>2</v>
      </c>
      <c r="H208" s="2">
        <f t="shared" si="12"/>
        <v>5</v>
      </c>
      <c r="I208" s="2">
        <f t="shared" si="13"/>
        <v>10885</v>
      </c>
      <c r="J208" s="16">
        <f t="shared" si="14"/>
        <v>544.25</v>
      </c>
      <c r="K208" s="2">
        <f t="shared" si="15"/>
        <v>10340.75</v>
      </c>
    </row>
    <row r="209" spans="1:11" ht="16.5" x14ac:dyDescent="0.3">
      <c r="A209" s="4">
        <v>43009</v>
      </c>
      <c r="B209" s="2" t="s">
        <v>11</v>
      </c>
      <c r="C209" s="2" t="s">
        <v>23</v>
      </c>
      <c r="D209" s="2" t="s">
        <v>26</v>
      </c>
      <c r="E209" s="16" t="s">
        <v>24</v>
      </c>
      <c r="F209" s="2">
        <v>1514</v>
      </c>
      <c r="G209" s="2">
        <v>2</v>
      </c>
      <c r="H209" s="2">
        <f t="shared" si="12"/>
        <v>12</v>
      </c>
      <c r="I209" s="2">
        <f t="shared" si="13"/>
        <v>18168</v>
      </c>
      <c r="J209" s="16">
        <f t="shared" si="14"/>
        <v>908.40000000000009</v>
      </c>
      <c r="K209" s="2">
        <f t="shared" si="15"/>
        <v>17259.599999999999</v>
      </c>
    </row>
    <row r="210" spans="1:11" ht="16.5" x14ac:dyDescent="0.3">
      <c r="A210" s="4">
        <v>42767</v>
      </c>
      <c r="B210" s="2" t="s">
        <v>27</v>
      </c>
      <c r="C210" s="2" t="s">
        <v>23</v>
      </c>
      <c r="D210" s="2" t="s">
        <v>30</v>
      </c>
      <c r="E210" s="16" t="s">
        <v>14</v>
      </c>
      <c r="F210" s="2">
        <v>1865</v>
      </c>
      <c r="G210" s="2">
        <v>6</v>
      </c>
      <c r="H210" s="2">
        <f t="shared" si="12"/>
        <v>26</v>
      </c>
      <c r="I210" s="2">
        <f t="shared" si="13"/>
        <v>48490</v>
      </c>
      <c r="J210" s="16">
        <f t="shared" si="14"/>
        <v>2424.5</v>
      </c>
      <c r="K210" s="2">
        <f t="shared" si="15"/>
        <v>46065.5</v>
      </c>
    </row>
    <row r="211" spans="1:11" ht="16.5" x14ac:dyDescent="0.3">
      <c r="A211" s="4">
        <v>42826</v>
      </c>
      <c r="B211" s="2" t="s">
        <v>31</v>
      </c>
      <c r="C211" s="2" t="s">
        <v>23</v>
      </c>
      <c r="D211" s="2" t="s">
        <v>22</v>
      </c>
      <c r="E211" s="16" t="s">
        <v>14</v>
      </c>
      <c r="F211" s="2">
        <v>1074</v>
      </c>
      <c r="G211" s="2">
        <v>3</v>
      </c>
      <c r="H211" s="2">
        <f t="shared" si="12"/>
        <v>23</v>
      </c>
      <c r="I211" s="2">
        <f t="shared" si="13"/>
        <v>24702</v>
      </c>
      <c r="J211" s="16">
        <f t="shared" si="14"/>
        <v>1235.1000000000001</v>
      </c>
      <c r="K211" s="2">
        <f t="shared" si="15"/>
        <v>23466.9</v>
      </c>
    </row>
    <row r="212" spans="1:11" ht="16.5" x14ac:dyDescent="0.3">
      <c r="A212" s="4">
        <v>42979</v>
      </c>
      <c r="B212" s="2" t="s">
        <v>25</v>
      </c>
      <c r="C212" s="2" t="s">
        <v>15</v>
      </c>
      <c r="D212" s="2" t="s">
        <v>29</v>
      </c>
      <c r="E212" s="16" t="s">
        <v>21</v>
      </c>
      <c r="F212" s="2">
        <v>1907</v>
      </c>
      <c r="G212" s="2">
        <v>40</v>
      </c>
      <c r="H212" s="2">
        <f t="shared" si="12"/>
        <v>43</v>
      </c>
      <c r="I212" s="2">
        <f t="shared" si="13"/>
        <v>82001</v>
      </c>
      <c r="J212" s="16">
        <f t="shared" si="14"/>
        <v>4100.05</v>
      </c>
      <c r="K212" s="2">
        <f t="shared" si="15"/>
        <v>77900.95</v>
      </c>
    </row>
    <row r="213" spans="1:11" ht="16.5" x14ac:dyDescent="0.3">
      <c r="A213" s="4">
        <v>43009</v>
      </c>
      <c r="B213" s="2" t="s">
        <v>11</v>
      </c>
      <c r="C213" s="2" t="s">
        <v>34</v>
      </c>
      <c r="D213" s="2" t="s">
        <v>33</v>
      </c>
      <c r="E213" s="16" t="s">
        <v>21</v>
      </c>
      <c r="F213" s="2">
        <v>671</v>
      </c>
      <c r="G213" s="2">
        <v>20</v>
      </c>
      <c r="H213" s="2">
        <f t="shared" si="12"/>
        <v>23</v>
      </c>
      <c r="I213" s="2">
        <f t="shared" si="13"/>
        <v>15433</v>
      </c>
      <c r="J213" s="16">
        <f t="shared" si="14"/>
        <v>771.65000000000009</v>
      </c>
      <c r="K213" s="2">
        <f t="shared" si="15"/>
        <v>14661.35</v>
      </c>
    </row>
    <row r="214" spans="1:11" ht="16.5" x14ac:dyDescent="0.3">
      <c r="A214" s="4">
        <v>43070</v>
      </c>
      <c r="B214" s="2" t="s">
        <v>25</v>
      </c>
      <c r="C214" s="2" t="s">
        <v>12</v>
      </c>
      <c r="D214" s="2" t="s">
        <v>20</v>
      </c>
      <c r="E214" s="16" t="s">
        <v>17</v>
      </c>
      <c r="F214" s="2">
        <v>1778</v>
      </c>
      <c r="G214" s="2">
        <v>5</v>
      </c>
      <c r="H214" s="2">
        <f t="shared" si="12"/>
        <v>20</v>
      </c>
      <c r="I214" s="2">
        <f t="shared" si="13"/>
        <v>35560</v>
      </c>
      <c r="J214" s="16">
        <f t="shared" si="14"/>
        <v>1778</v>
      </c>
      <c r="K214" s="2">
        <f t="shared" si="15"/>
        <v>33782</v>
      </c>
    </row>
    <row r="215" spans="1:11" ht="16.5" x14ac:dyDescent="0.3">
      <c r="A215" s="4">
        <v>43009</v>
      </c>
      <c r="B215" s="2" t="s">
        <v>11</v>
      </c>
      <c r="C215" s="2" t="s">
        <v>15</v>
      </c>
      <c r="D215" s="2" t="s">
        <v>16</v>
      </c>
      <c r="E215" s="16" t="s">
        <v>17</v>
      </c>
      <c r="F215" s="2">
        <v>1159</v>
      </c>
      <c r="G215" s="2">
        <v>4</v>
      </c>
      <c r="H215" s="2">
        <f t="shared" si="12"/>
        <v>19</v>
      </c>
      <c r="I215" s="2">
        <f t="shared" si="13"/>
        <v>22021</v>
      </c>
      <c r="J215" s="16">
        <f t="shared" si="14"/>
        <v>1101.05</v>
      </c>
      <c r="K215" s="2">
        <f t="shared" si="15"/>
        <v>20919.95</v>
      </c>
    </row>
    <row r="216" spans="1:11" ht="16.5" x14ac:dyDescent="0.3">
      <c r="A216" s="4">
        <v>42736</v>
      </c>
      <c r="B216" s="2" t="s">
        <v>11</v>
      </c>
      <c r="C216" s="2" t="s">
        <v>15</v>
      </c>
      <c r="D216" s="2" t="s">
        <v>29</v>
      </c>
      <c r="E216" s="16" t="s">
        <v>21</v>
      </c>
      <c r="F216" s="2">
        <v>1372</v>
      </c>
      <c r="G216" s="2">
        <v>40</v>
      </c>
      <c r="H216" s="2">
        <f t="shared" si="12"/>
        <v>43</v>
      </c>
      <c r="I216" s="2">
        <f t="shared" si="13"/>
        <v>58996</v>
      </c>
      <c r="J216" s="16">
        <f t="shared" si="14"/>
        <v>2949.8</v>
      </c>
      <c r="K216" s="2">
        <f t="shared" si="15"/>
        <v>56046.2</v>
      </c>
    </row>
    <row r="217" spans="1:11" ht="16.5" x14ac:dyDescent="0.3">
      <c r="A217" s="4">
        <v>42979</v>
      </c>
      <c r="B217" s="2" t="s">
        <v>25</v>
      </c>
      <c r="C217" s="2" t="s">
        <v>12</v>
      </c>
      <c r="D217" s="2" t="s">
        <v>20</v>
      </c>
      <c r="E217" s="16" t="s">
        <v>21</v>
      </c>
      <c r="F217" s="2">
        <v>2349</v>
      </c>
      <c r="G217" s="2">
        <v>5</v>
      </c>
      <c r="H217" s="2">
        <f t="shared" si="12"/>
        <v>8</v>
      </c>
      <c r="I217" s="2">
        <f t="shared" si="13"/>
        <v>18792</v>
      </c>
      <c r="J217" s="16">
        <f t="shared" si="14"/>
        <v>939.6</v>
      </c>
      <c r="K217" s="2">
        <f t="shared" si="15"/>
        <v>17852.400000000001</v>
      </c>
    </row>
    <row r="218" spans="1:11" ht="16.5" x14ac:dyDescent="0.3">
      <c r="A218" s="4">
        <v>43009</v>
      </c>
      <c r="B218" s="2" t="s">
        <v>11</v>
      </c>
      <c r="C218" s="2" t="s">
        <v>23</v>
      </c>
      <c r="D218" s="2" t="s">
        <v>29</v>
      </c>
      <c r="E218" s="16" t="s">
        <v>21</v>
      </c>
      <c r="F218" s="2">
        <v>2689</v>
      </c>
      <c r="G218" s="2">
        <v>40</v>
      </c>
      <c r="H218" s="2">
        <f t="shared" si="12"/>
        <v>43</v>
      </c>
      <c r="I218" s="2">
        <f t="shared" si="13"/>
        <v>115627</v>
      </c>
      <c r="J218" s="16">
        <f t="shared" si="14"/>
        <v>5781.35</v>
      </c>
      <c r="K218" s="2">
        <f t="shared" si="15"/>
        <v>109845.65</v>
      </c>
    </row>
    <row r="219" spans="1:11" ht="16.5" x14ac:dyDescent="0.3">
      <c r="A219" s="4">
        <v>43070</v>
      </c>
      <c r="B219" s="2" t="s">
        <v>25</v>
      </c>
      <c r="C219" s="2" t="s">
        <v>12</v>
      </c>
      <c r="D219" s="2" t="s">
        <v>20</v>
      </c>
      <c r="E219" s="16" t="s">
        <v>21</v>
      </c>
      <c r="F219" s="2">
        <v>2431</v>
      </c>
      <c r="G219" s="2">
        <v>5</v>
      </c>
      <c r="H219" s="2">
        <f t="shared" si="12"/>
        <v>8</v>
      </c>
      <c r="I219" s="2">
        <f t="shared" si="13"/>
        <v>19448</v>
      </c>
      <c r="J219" s="16">
        <f t="shared" si="14"/>
        <v>972.40000000000009</v>
      </c>
      <c r="K219" s="2">
        <f t="shared" si="15"/>
        <v>18475.599999999999</v>
      </c>
    </row>
    <row r="220" spans="1:11" ht="16.5" x14ac:dyDescent="0.3">
      <c r="A220" s="4">
        <v>43070</v>
      </c>
      <c r="B220" s="2" t="s">
        <v>25</v>
      </c>
      <c r="C220" s="2" t="s">
        <v>12</v>
      </c>
      <c r="D220" s="2" t="s">
        <v>30</v>
      </c>
      <c r="E220" s="16" t="s">
        <v>24</v>
      </c>
      <c r="F220" s="2">
        <v>2431</v>
      </c>
      <c r="G220" s="2">
        <v>6</v>
      </c>
      <c r="H220" s="2">
        <f t="shared" si="12"/>
        <v>16</v>
      </c>
      <c r="I220" s="2">
        <f t="shared" si="13"/>
        <v>38896</v>
      </c>
      <c r="J220" s="16">
        <f t="shared" si="14"/>
        <v>1944.8000000000002</v>
      </c>
      <c r="K220" s="2">
        <f t="shared" si="15"/>
        <v>36951.199999999997</v>
      </c>
    </row>
    <row r="221" spans="1:11" ht="16.5" x14ac:dyDescent="0.3">
      <c r="A221" s="4">
        <v>43009</v>
      </c>
      <c r="B221" s="2" t="s">
        <v>11</v>
      </c>
      <c r="C221" s="2" t="s">
        <v>23</v>
      </c>
      <c r="D221" s="2" t="s">
        <v>28</v>
      </c>
      <c r="E221" s="16" t="s">
        <v>14</v>
      </c>
      <c r="F221" s="2">
        <v>2689</v>
      </c>
      <c r="G221" s="2">
        <v>120</v>
      </c>
      <c r="H221" s="2">
        <f t="shared" si="12"/>
        <v>140</v>
      </c>
      <c r="I221" s="2">
        <f t="shared" si="13"/>
        <v>376460</v>
      </c>
      <c r="J221" s="16">
        <f t="shared" si="14"/>
        <v>18823</v>
      </c>
      <c r="K221" s="2">
        <f t="shared" si="15"/>
        <v>357637</v>
      </c>
    </row>
    <row r="222" spans="1:11" ht="16.5" x14ac:dyDescent="0.3">
      <c r="A222" s="4">
        <v>42917</v>
      </c>
      <c r="B222" s="2" t="s">
        <v>31</v>
      </c>
      <c r="C222" s="2" t="s">
        <v>23</v>
      </c>
      <c r="D222" s="2" t="s">
        <v>35</v>
      </c>
      <c r="E222" s="16" t="s">
        <v>14</v>
      </c>
      <c r="F222" s="2">
        <v>1683</v>
      </c>
      <c r="G222" s="2">
        <v>25</v>
      </c>
      <c r="H222" s="2">
        <f t="shared" si="12"/>
        <v>45</v>
      </c>
      <c r="I222" s="2">
        <f t="shared" si="13"/>
        <v>75735</v>
      </c>
      <c r="J222" s="16">
        <f t="shared" si="14"/>
        <v>3786.75</v>
      </c>
      <c r="K222" s="2">
        <f t="shared" si="15"/>
        <v>71948.25</v>
      </c>
    </row>
    <row r="223" spans="1:11" ht="16.5" x14ac:dyDescent="0.3">
      <c r="A223" s="4">
        <v>42948</v>
      </c>
      <c r="B223" s="2" t="s">
        <v>32</v>
      </c>
      <c r="C223" s="2" t="s">
        <v>23</v>
      </c>
      <c r="D223" s="2" t="s">
        <v>16</v>
      </c>
      <c r="E223" s="16" t="s">
        <v>21</v>
      </c>
      <c r="F223" s="2">
        <v>1123</v>
      </c>
      <c r="G223" s="2">
        <v>4</v>
      </c>
      <c r="H223" s="2">
        <f t="shared" si="12"/>
        <v>7</v>
      </c>
      <c r="I223" s="2">
        <f t="shared" si="13"/>
        <v>7861</v>
      </c>
      <c r="J223" s="16">
        <f t="shared" si="14"/>
        <v>393.05</v>
      </c>
      <c r="K223" s="2">
        <f t="shared" si="15"/>
        <v>7467.95</v>
      </c>
    </row>
    <row r="224" spans="1:11" ht="16.5" x14ac:dyDescent="0.3">
      <c r="A224" s="4">
        <v>43009</v>
      </c>
      <c r="B224" s="2" t="s">
        <v>11</v>
      </c>
      <c r="C224" s="2" t="s">
        <v>15</v>
      </c>
      <c r="D224" s="2" t="s">
        <v>20</v>
      </c>
      <c r="E224" s="16" t="s">
        <v>21</v>
      </c>
      <c r="F224" s="2">
        <v>1159</v>
      </c>
      <c r="G224" s="2">
        <v>5</v>
      </c>
      <c r="H224" s="2">
        <f t="shared" si="12"/>
        <v>8</v>
      </c>
      <c r="I224" s="2">
        <f t="shared" si="13"/>
        <v>9272</v>
      </c>
      <c r="J224" s="16">
        <f t="shared" si="14"/>
        <v>463.6</v>
      </c>
      <c r="K224" s="2">
        <f t="shared" si="15"/>
        <v>8808.4</v>
      </c>
    </row>
    <row r="225" spans="1:11" ht="16.5" x14ac:dyDescent="0.3">
      <c r="A225" s="4">
        <v>42767</v>
      </c>
      <c r="B225" s="2" t="s">
        <v>27</v>
      </c>
      <c r="C225" s="2" t="s">
        <v>19</v>
      </c>
      <c r="D225" s="2" t="s">
        <v>20</v>
      </c>
      <c r="E225" s="16" t="s">
        <v>17</v>
      </c>
      <c r="F225" s="2">
        <v>1865</v>
      </c>
      <c r="G225" s="2">
        <v>5</v>
      </c>
      <c r="H225" s="2">
        <f t="shared" si="12"/>
        <v>20</v>
      </c>
      <c r="I225" s="2">
        <f t="shared" si="13"/>
        <v>37300</v>
      </c>
      <c r="J225" s="16">
        <f t="shared" si="14"/>
        <v>1865</v>
      </c>
      <c r="K225" s="2">
        <f t="shared" si="15"/>
        <v>35435</v>
      </c>
    </row>
    <row r="226" spans="1:11" ht="16.5" x14ac:dyDescent="0.3">
      <c r="A226" s="4">
        <v>42767</v>
      </c>
      <c r="B226" s="2" t="s">
        <v>27</v>
      </c>
      <c r="C226" s="2" t="s">
        <v>15</v>
      </c>
      <c r="D226" s="2" t="s">
        <v>30</v>
      </c>
      <c r="E226" s="16" t="s">
        <v>17</v>
      </c>
      <c r="F226" s="2">
        <v>1116</v>
      </c>
      <c r="G226" s="2">
        <v>6</v>
      </c>
      <c r="H226" s="2">
        <f t="shared" si="12"/>
        <v>21</v>
      </c>
      <c r="I226" s="2">
        <f t="shared" si="13"/>
        <v>23436</v>
      </c>
      <c r="J226" s="16">
        <f t="shared" si="14"/>
        <v>1171.8</v>
      </c>
      <c r="K226" s="2">
        <f t="shared" si="15"/>
        <v>22264.2</v>
      </c>
    </row>
    <row r="227" spans="1:11" ht="16.5" x14ac:dyDescent="0.3">
      <c r="A227" s="4">
        <v>42856</v>
      </c>
      <c r="B227" s="2" t="s">
        <v>37</v>
      </c>
      <c r="C227" s="2" t="s">
        <v>19</v>
      </c>
      <c r="D227" s="2" t="s">
        <v>16</v>
      </c>
      <c r="E227" s="16" t="s">
        <v>21</v>
      </c>
      <c r="F227" s="2">
        <v>1563</v>
      </c>
      <c r="G227" s="2">
        <v>4</v>
      </c>
      <c r="H227" s="2">
        <f t="shared" si="12"/>
        <v>7</v>
      </c>
      <c r="I227" s="2">
        <f t="shared" si="13"/>
        <v>10941</v>
      </c>
      <c r="J227" s="16">
        <f t="shared" si="14"/>
        <v>547.05000000000007</v>
      </c>
      <c r="K227" s="2">
        <f t="shared" si="15"/>
        <v>10393.950000000001</v>
      </c>
    </row>
    <row r="228" spans="1:11" ht="16.5" x14ac:dyDescent="0.3">
      <c r="A228" s="4">
        <v>42887</v>
      </c>
      <c r="B228" s="2" t="s">
        <v>18</v>
      </c>
      <c r="C228" s="2" t="s">
        <v>34</v>
      </c>
      <c r="D228" s="2" t="s">
        <v>13</v>
      </c>
      <c r="E228" s="16" t="s">
        <v>21</v>
      </c>
      <c r="F228" s="2">
        <v>991</v>
      </c>
      <c r="G228" s="2">
        <v>30</v>
      </c>
      <c r="H228" s="2">
        <f t="shared" si="12"/>
        <v>33</v>
      </c>
      <c r="I228" s="2">
        <f t="shared" si="13"/>
        <v>32703</v>
      </c>
      <c r="J228" s="16">
        <f t="shared" si="14"/>
        <v>1635.15</v>
      </c>
      <c r="K228" s="2">
        <f t="shared" si="15"/>
        <v>31067.85</v>
      </c>
    </row>
    <row r="229" spans="1:11" ht="16.5" x14ac:dyDescent="0.3">
      <c r="A229" s="4">
        <v>43040</v>
      </c>
      <c r="B229" s="2" t="s">
        <v>27</v>
      </c>
      <c r="C229" s="2" t="s">
        <v>15</v>
      </c>
      <c r="D229" s="2" t="s">
        <v>29</v>
      </c>
      <c r="E229" s="16" t="s">
        <v>21</v>
      </c>
      <c r="F229" s="2">
        <v>1016</v>
      </c>
      <c r="G229" s="2">
        <v>40</v>
      </c>
      <c r="H229" s="2">
        <f t="shared" si="12"/>
        <v>43</v>
      </c>
      <c r="I229" s="2">
        <f t="shared" si="13"/>
        <v>43688</v>
      </c>
      <c r="J229" s="16">
        <f t="shared" si="14"/>
        <v>2184.4</v>
      </c>
      <c r="K229" s="2">
        <f t="shared" si="15"/>
        <v>41503.599999999999</v>
      </c>
    </row>
    <row r="230" spans="1:11" ht="16.5" x14ac:dyDescent="0.3">
      <c r="A230" s="4">
        <v>43040</v>
      </c>
      <c r="B230" s="2" t="s">
        <v>27</v>
      </c>
      <c r="C230" s="2" t="s">
        <v>23</v>
      </c>
      <c r="D230" s="2" t="s">
        <v>28</v>
      </c>
      <c r="E230" s="16" t="s">
        <v>24</v>
      </c>
      <c r="F230" s="2">
        <v>2791</v>
      </c>
      <c r="G230" s="2">
        <v>120</v>
      </c>
      <c r="H230" s="2">
        <f t="shared" si="12"/>
        <v>130</v>
      </c>
      <c r="I230" s="2">
        <f t="shared" si="13"/>
        <v>362830</v>
      </c>
      <c r="J230" s="16">
        <f t="shared" si="14"/>
        <v>18141.5</v>
      </c>
      <c r="K230" s="2">
        <f t="shared" si="15"/>
        <v>344688.5</v>
      </c>
    </row>
    <row r="231" spans="1:11" ht="16.5" x14ac:dyDescent="0.3">
      <c r="A231" s="4">
        <v>43070</v>
      </c>
      <c r="B231" s="2" t="s">
        <v>25</v>
      </c>
      <c r="C231" s="2" t="s">
        <v>34</v>
      </c>
      <c r="D231" s="2" t="s">
        <v>30</v>
      </c>
      <c r="E231" s="16" t="s">
        <v>14</v>
      </c>
      <c r="F231" s="2">
        <v>570</v>
      </c>
      <c r="G231" s="2">
        <v>6</v>
      </c>
      <c r="H231" s="2">
        <f t="shared" si="12"/>
        <v>26</v>
      </c>
      <c r="I231" s="2">
        <f t="shared" si="13"/>
        <v>14820</v>
      </c>
      <c r="J231" s="16">
        <f t="shared" si="14"/>
        <v>741</v>
      </c>
      <c r="K231" s="2">
        <f t="shared" si="15"/>
        <v>14079</v>
      </c>
    </row>
    <row r="232" spans="1:11" ht="16.5" x14ac:dyDescent="0.3">
      <c r="A232" s="4">
        <v>43070</v>
      </c>
      <c r="B232" s="2" t="s">
        <v>25</v>
      </c>
      <c r="C232" s="2" t="s">
        <v>19</v>
      </c>
      <c r="D232" s="2" t="s">
        <v>16</v>
      </c>
      <c r="E232" s="16" t="s">
        <v>14</v>
      </c>
      <c r="F232" s="2">
        <v>2487</v>
      </c>
      <c r="G232" s="2">
        <v>4</v>
      </c>
      <c r="H232" s="2">
        <f t="shared" si="12"/>
        <v>24</v>
      </c>
      <c r="I232" s="2">
        <f t="shared" si="13"/>
        <v>59688</v>
      </c>
      <c r="J232" s="16">
        <f t="shared" si="14"/>
        <v>2984.4</v>
      </c>
      <c r="K232" s="2">
        <f t="shared" si="15"/>
        <v>56703.6</v>
      </c>
    </row>
    <row r="233" spans="1:11" ht="16.5" x14ac:dyDescent="0.3">
      <c r="A233" s="4">
        <v>42736</v>
      </c>
      <c r="B233" s="2" t="s">
        <v>11</v>
      </c>
      <c r="C233" s="2" t="s">
        <v>19</v>
      </c>
      <c r="D233" s="2" t="s">
        <v>36</v>
      </c>
      <c r="E233" s="16" t="s">
        <v>21</v>
      </c>
      <c r="F233" s="2">
        <v>1384.5</v>
      </c>
      <c r="G233" s="2">
        <v>10</v>
      </c>
      <c r="H233" s="2">
        <f t="shared" si="12"/>
        <v>13</v>
      </c>
      <c r="I233" s="2">
        <f t="shared" si="13"/>
        <v>17998.5</v>
      </c>
      <c r="J233" s="16">
        <f t="shared" si="14"/>
        <v>899.92500000000007</v>
      </c>
      <c r="K233" s="2">
        <f t="shared" si="15"/>
        <v>17098.575000000001</v>
      </c>
    </row>
    <row r="234" spans="1:11" ht="16.5" x14ac:dyDescent="0.3">
      <c r="A234" s="4">
        <v>42917</v>
      </c>
      <c r="B234" s="2" t="s">
        <v>31</v>
      </c>
      <c r="C234" s="2" t="s">
        <v>34</v>
      </c>
      <c r="D234" s="2" t="s">
        <v>28</v>
      </c>
      <c r="E234" s="16" t="s">
        <v>21</v>
      </c>
      <c r="F234" s="2">
        <v>3627</v>
      </c>
      <c r="G234" s="2">
        <v>120</v>
      </c>
      <c r="H234" s="2">
        <f t="shared" si="12"/>
        <v>123</v>
      </c>
      <c r="I234" s="2">
        <f t="shared" si="13"/>
        <v>446121</v>
      </c>
      <c r="J234" s="16">
        <f t="shared" si="14"/>
        <v>22306.050000000003</v>
      </c>
      <c r="K234" s="2">
        <f t="shared" si="15"/>
        <v>423814.95</v>
      </c>
    </row>
    <row r="235" spans="1:11" ht="16.5" x14ac:dyDescent="0.3">
      <c r="A235" s="4">
        <v>42979</v>
      </c>
      <c r="B235" s="2" t="s">
        <v>25</v>
      </c>
      <c r="C235" s="2" t="s">
        <v>23</v>
      </c>
      <c r="D235" s="2" t="s">
        <v>35</v>
      </c>
      <c r="E235" s="16" t="s">
        <v>17</v>
      </c>
      <c r="F235" s="2">
        <v>720</v>
      </c>
      <c r="G235" s="2">
        <v>25</v>
      </c>
      <c r="H235" s="2">
        <f t="shared" si="12"/>
        <v>40</v>
      </c>
      <c r="I235" s="2">
        <f t="shared" si="13"/>
        <v>28800</v>
      </c>
      <c r="J235" s="16">
        <f t="shared" si="14"/>
        <v>1440</v>
      </c>
      <c r="K235" s="2">
        <f t="shared" si="15"/>
        <v>27360</v>
      </c>
    </row>
    <row r="236" spans="1:11" ht="16.5" x14ac:dyDescent="0.3">
      <c r="A236" s="4">
        <v>43040</v>
      </c>
      <c r="B236" s="2" t="s">
        <v>27</v>
      </c>
      <c r="C236" s="2" t="s">
        <v>15</v>
      </c>
      <c r="D236" s="2" t="s">
        <v>20</v>
      </c>
      <c r="E236" s="16" t="s">
        <v>17</v>
      </c>
      <c r="F236" s="2">
        <v>2342</v>
      </c>
      <c r="G236" s="2">
        <v>5</v>
      </c>
      <c r="H236" s="2">
        <f t="shared" si="12"/>
        <v>20</v>
      </c>
      <c r="I236" s="2">
        <f t="shared" si="13"/>
        <v>46840</v>
      </c>
      <c r="J236" s="16">
        <f t="shared" si="14"/>
        <v>2342</v>
      </c>
      <c r="K236" s="2">
        <f t="shared" si="15"/>
        <v>44498</v>
      </c>
    </row>
    <row r="237" spans="1:11" ht="16.5" x14ac:dyDescent="0.3">
      <c r="A237" s="4">
        <v>43070</v>
      </c>
      <c r="B237" s="2" t="s">
        <v>25</v>
      </c>
      <c r="C237" s="2" t="s">
        <v>23</v>
      </c>
      <c r="D237" s="2" t="s">
        <v>30</v>
      </c>
      <c r="E237" s="16" t="s">
        <v>21</v>
      </c>
      <c r="F237" s="2">
        <v>1100</v>
      </c>
      <c r="G237" s="2">
        <v>6</v>
      </c>
      <c r="H237" s="2">
        <f t="shared" si="12"/>
        <v>9</v>
      </c>
      <c r="I237" s="2">
        <f t="shared" si="13"/>
        <v>9900</v>
      </c>
      <c r="J237" s="16">
        <f t="shared" si="14"/>
        <v>495</v>
      </c>
      <c r="K237" s="2">
        <f t="shared" si="15"/>
        <v>9405</v>
      </c>
    </row>
    <row r="238" spans="1:11" ht="16.5" x14ac:dyDescent="0.3">
      <c r="A238" s="4">
        <v>42767</v>
      </c>
      <c r="B238" s="2" t="s">
        <v>27</v>
      </c>
      <c r="C238" s="2" t="s">
        <v>19</v>
      </c>
      <c r="D238" s="2" t="s">
        <v>16</v>
      </c>
      <c r="E238" s="16" t="s">
        <v>21</v>
      </c>
      <c r="F238" s="2">
        <v>1303</v>
      </c>
      <c r="G238" s="2">
        <v>4</v>
      </c>
      <c r="H238" s="2">
        <f t="shared" si="12"/>
        <v>7</v>
      </c>
      <c r="I238" s="2">
        <f t="shared" si="13"/>
        <v>9121</v>
      </c>
      <c r="J238" s="16">
        <f t="shared" si="14"/>
        <v>456.05</v>
      </c>
      <c r="K238" s="2">
        <f t="shared" si="15"/>
        <v>8664.9500000000007</v>
      </c>
    </row>
    <row r="239" spans="1:11" ht="16.5" x14ac:dyDescent="0.3">
      <c r="A239" s="4">
        <v>42795</v>
      </c>
      <c r="B239" s="2" t="s">
        <v>27</v>
      </c>
      <c r="C239" s="2" t="s">
        <v>34</v>
      </c>
      <c r="D239" s="2" t="s">
        <v>35</v>
      </c>
      <c r="E239" s="16" t="s">
        <v>21</v>
      </c>
      <c r="F239" s="2">
        <v>2992</v>
      </c>
      <c r="G239" s="2">
        <v>25</v>
      </c>
      <c r="H239" s="2">
        <f t="shared" si="12"/>
        <v>28</v>
      </c>
      <c r="I239" s="2">
        <f t="shared" si="13"/>
        <v>83776</v>
      </c>
      <c r="J239" s="16">
        <f t="shared" si="14"/>
        <v>4188.8</v>
      </c>
      <c r="K239" s="2">
        <f t="shared" si="15"/>
        <v>79587.199999999997</v>
      </c>
    </row>
    <row r="240" spans="1:11" ht="16.5" x14ac:dyDescent="0.3">
      <c r="A240" s="4">
        <v>42795</v>
      </c>
      <c r="B240" s="2" t="s">
        <v>27</v>
      </c>
      <c r="C240" s="2" t="s">
        <v>19</v>
      </c>
      <c r="D240" s="2" t="s">
        <v>22</v>
      </c>
      <c r="E240" s="16" t="s">
        <v>21</v>
      </c>
      <c r="F240" s="2">
        <v>2385</v>
      </c>
      <c r="G240" s="2">
        <v>3</v>
      </c>
      <c r="H240" s="2">
        <f t="shared" si="12"/>
        <v>6</v>
      </c>
      <c r="I240" s="2">
        <f t="shared" si="13"/>
        <v>14310</v>
      </c>
      <c r="J240" s="16">
        <f t="shared" si="14"/>
        <v>715.5</v>
      </c>
      <c r="K240" s="2">
        <f t="shared" si="15"/>
        <v>13594.5</v>
      </c>
    </row>
    <row r="241" spans="1:11" ht="16.5" x14ac:dyDescent="0.3">
      <c r="A241" s="4">
        <v>42826</v>
      </c>
      <c r="B241" s="2" t="s">
        <v>31</v>
      </c>
      <c r="C241" s="2" t="s">
        <v>23</v>
      </c>
      <c r="D241" s="2" t="s">
        <v>22</v>
      </c>
      <c r="E241" s="16" t="s">
        <v>24</v>
      </c>
      <c r="F241" s="2">
        <v>1607</v>
      </c>
      <c r="G241" s="2">
        <v>3</v>
      </c>
      <c r="H241" s="2">
        <f t="shared" si="12"/>
        <v>13</v>
      </c>
      <c r="I241" s="2">
        <f t="shared" si="13"/>
        <v>20891</v>
      </c>
      <c r="J241" s="16">
        <f t="shared" si="14"/>
        <v>1044.55</v>
      </c>
      <c r="K241" s="2">
        <f t="shared" si="15"/>
        <v>19846.45</v>
      </c>
    </row>
    <row r="242" spans="1:11" ht="16.5" x14ac:dyDescent="0.3">
      <c r="A242" s="4">
        <v>42856</v>
      </c>
      <c r="B242" s="2" t="s">
        <v>37</v>
      </c>
      <c r="C242" s="2" t="s">
        <v>34</v>
      </c>
      <c r="D242" s="2" t="s">
        <v>33</v>
      </c>
      <c r="E242" s="16" t="s">
        <v>14</v>
      </c>
      <c r="F242" s="2">
        <v>2327</v>
      </c>
      <c r="G242" s="2">
        <v>20</v>
      </c>
      <c r="H242" s="2">
        <f t="shared" si="12"/>
        <v>40</v>
      </c>
      <c r="I242" s="2">
        <f t="shared" si="13"/>
        <v>93080</v>
      </c>
      <c r="J242" s="16">
        <f t="shared" si="14"/>
        <v>4654</v>
      </c>
      <c r="K242" s="2">
        <f t="shared" si="15"/>
        <v>88426</v>
      </c>
    </row>
    <row r="243" spans="1:11" ht="16.5" x14ac:dyDescent="0.3">
      <c r="A243" s="4">
        <v>42887</v>
      </c>
      <c r="B243" s="2" t="s">
        <v>18</v>
      </c>
      <c r="C243" s="2" t="s">
        <v>34</v>
      </c>
      <c r="D243" s="2" t="s">
        <v>16</v>
      </c>
      <c r="E243" s="16" t="s">
        <v>14</v>
      </c>
      <c r="F243" s="2">
        <v>991</v>
      </c>
      <c r="G243" s="2">
        <v>4</v>
      </c>
      <c r="H243" s="2">
        <f t="shared" si="12"/>
        <v>24</v>
      </c>
      <c r="I243" s="2">
        <f t="shared" si="13"/>
        <v>23784</v>
      </c>
      <c r="J243" s="16">
        <f t="shared" si="14"/>
        <v>1189.2</v>
      </c>
      <c r="K243" s="2">
        <f t="shared" si="15"/>
        <v>22594.799999999999</v>
      </c>
    </row>
    <row r="244" spans="1:11" ht="16.5" x14ac:dyDescent="0.3">
      <c r="A244" s="4">
        <v>42887</v>
      </c>
      <c r="B244" s="2" t="s">
        <v>18</v>
      </c>
      <c r="C244" s="2" t="s">
        <v>34</v>
      </c>
      <c r="D244" s="2" t="s">
        <v>13</v>
      </c>
      <c r="E244" s="16" t="s">
        <v>21</v>
      </c>
      <c r="F244" s="2">
        <v>602</v>
      </c>
      <c r="G244" s="2">
        <v>30</v>
      </c>
      <c r="H244" s="2">
        <f t="shared" si="12"/>
        <v>33</v>
      </c>
      <c r="I244" s="2">
        <f t="shared" si="13"/>
        <v>19866</v>
      </c>
      <c r="J244" s="16">
        <f t="shared" si="14"/>
        <v>993.30000000000007</v>
      </c>
      <c r="K244" s="2">
        <f t="shared" si="15"/>
        <v>18872.7</v>
      </c>
    </row>
    <row r="245" spans="1:11" ht="16.5" x14ac:dyDescent="0.3">
      <c r="A245" s="4">
        <v>42979</v>
      </c>
      <c r="B245" s="2" t="s">
        <v>25</v>
      </c>
      <c r="C245" s="2" t="s">
        <v>19</v>
      </c>
      <c r="D245" s="2" t="s">
        <v>30</v>
      </c>
      <c r="E245" s="16" t="s">
        <v>21</v>
      </c>
      <c r="F245" s="2">
        <v>2620</v>
      </c>
      <c r="G245" s="2">
        <v>6</v>
      </c>
      <c r="H245" s="2">
        <f t="shared" si="12"/>
        <v>9</v>
      </c>
      <c r="I245" s="2">
        <f t="shared" si="13"/>
        <v>23580</v>
      </c>
      <c r="J245" s="16">
        <f t="shared" si="14"/>
        <v>1179</v>
      </c>
      <c r="K245" s="2">
        <f t="shared" si="15"/>
        <v>22401</v>
      </c>
    </row>
    <row r="246" spans="1:11" ht="16.5" x14ac:dyDescent="0.3">
      <c r="A246" s="4">
        <v>43009</v>
      </c>
      <c r="B246" s="2" t="s">
        <v>11</v>
      </c>
      <c r="C246" s="2" t="s">
        <v>12</v>
      </c>
      <c r="D246" s="2" t="s">
        <v>30</v>
      </c>
      <c r="E246" s="16" t="s">
        <v>17</v>
      </c>
      <c r="F246" s="2">
        <v>1228</v>
      </c>
      <c r="G246" s="2">
        <v>6</v>
      </c>
      <c r="H246" s="2">
        <f t="shared" si="12"/>
        <v>21</v>
      </c>
      <c r="I246" s="2">
        <f t="shared" si="13"/>
        <v>25788</v>
      </c>
      <c r="J246" s="16">
        <f t="shared" si="14"/>
        <v>1289.4000000000001</v>
      </c>
      <c r="K246" s="2">
        <f t="shared" si="15"/>
        <v>24498.6</v>
      </c>
    </row>
    <row r="247" spans="1:11" ht="16.5" x14ac:dyDescent="0.3">
      <c r="A247" s="4">
        <v>43009</v>
      </c>
      <c r="B247" s="2" t="s">
        <v>11</v>
      </c>
      <c r="C247" s="2" t="s">
        <v>12</v>
      </c>
      <c r="D247" s="2" t="s">
        <v>20</v>
      </c>
      <c r="E247" s="16" t="s">
        <v>17</v>
      </c>
      <c r="F247" s="2">
        <v>1389</v>
      </c>
      <c r="G247" s="2">
        <v>5</v>
      </c>
      <c r="H247" s="2">
        <f t="shared" si="12"/>
        <v>20</v>
      </c>
      <c r="I247" s="2">
        <f t="shared" si="13"/>
        <v>27780</v>
      </c>
      <c r="J247" s="16">
        <f t="shared" si="14"/>
        <v>1389</v>
      </c>
      <c r="K247" s="2">
        <f t="shared" si="15"/>
        <v>26391</v>
      </c>
    </row>
    <row r="248" spans="1:11" ht="16.5" x14ac:dyDescent="0.3">
      <c r="A248" s="4">
        <v>43009</v>
      </c>
      <c r="B248" s="2" t="s">
        <v>11</v>
      </c>
      <c r="C248" s="2" t="s">
        <v>34</v>
      </c>
      <c r="D248" s="2" t="s">
        <v>30</v>
      </c>
      <c r="E248" s="16" t="s">
        <v>21</v>
      </c>
      <c r="F248" s="2">
        <v>861</v>
      </c>
      <c r="G248" s="2">
        <v>6</v>
      </c>
      <c r="H248" s="2">
        <f t="shared" si="12"/>
        <v>9</v>
      </c>
      <c r="I248" s="2">
        <f t="shared" si="13"/>
        <v>7749</v>
      </c>
      <c r="J248" s="16">
        <f t="shared" si="14"/>
        <v>387.45000000000005</v>
      </c>
      <c r="K248" s="2">
        <f t="shared" si="15"/>
        <v>7361.55</v>
      </c>
    </row>
    <row r="249" spans="1:11" ht="16.5" x14ac:dyDescent="0.3">
      <c r="A249" s="4">
        <v>43009</v>
      </c>
      <c r="B249" s="2" t="s">
        <v>11</v>
      </c>
      <c r="C249" s="2" t="s">
        <v>19</v>
      </c>
      <c r="D249" s="2" t="s">
        <v>26</v>
      </c>
      <c r="E249" s="16" t="s">
        <v>21</v>
      </c>
      <c r="F249" s="2">
        <v>704</v>
      </c>
      <c r="G249" s="2">
        <v>2</v>
      </c>
      <c r="H249" s="2">
        <f t="shared" si="12"/>
        <v>5</v>
      </c>
      <c r="I249" s="2">
        <f t="shared" si="13"/>
        <v>3520</v>
      </c>
      <c r="J249" s="16">
        <f t="shared" si="14"/>
        <v>176</v>
      </c>
      <c r="K249" s="2">
        <f t="shared" si="15"/>
        <v>3344</v>
      </c>
    </row>
    <row r="250" spans="1:11" ht="16.5" x14ac:dyDescent="0.3">
      <c r="A250" s="4">
        <v>43070</v>
      </c>
      <c r="B250" s="2" t="s">
        <v>25</v>
      </c>
      <c r="C250" s="2" t="s">
        <v>12</v>
      </c>
      <c r="D250" s="2" t="s">
        <v>29</v>
      </c>
      <c r="E250" s="16" t="s">
        <v>21</v>
      </c>
      <c r="F250" s="2">
        <v>1802</v>
      </c>
      <c r="G250" s="2">
        <v>40</v>
      </c>
      <c r="H250" s="2">
        <f t="shared" si="12"/>
        <v>43</v>
      </c>
      <c r="I250" s="2">
        <f t="shared" si="13"/>
        <v>77486</v>
      </c>
      <c r="J250" s="16">
        <f t="shared" si="14"/>
        <v>3874.3</v>
      </c>
      <c r="K250" s="2">
        <f t="shared" si="15"/>
        <v>73611.7</v>
      </c>
    </row>
    <row r="251" spans="1:11" ht="16.5" x14ac:dyDescent="0.3">
      <c r="A251" s="4">
        <v>43070</v>
      </c>
      <c r="B251" s="2" t="s">
        <v>25</v>
      </c>
      <c r="C251" s="2" t="s">
        <v>34</v>
      </c>
      <c r="D251" s="2" t="s">
        <v>29</v>
      </c>
      <c r="E251" s="16" t="s">
        <v>24</v>
      </c>
      <c r="F251" s="2">
        <v>2663</v>
      </c>
      <c r="G251" s="2">
        <v>40</v>
      </c>
      <c r="H251" s="2">
        <f t="shared" si="12"/>
        <v>50</v>
      </c>
      <c r="I251" s="2">
        <f t="shared" si="13"/>
        <v>133150</v>
      </c>
      <c r="J251" s="16">
        <f t="shared" si="14"/>
        <v>6657.5</v>
      </c>
      <c r="K251" s="2">
        <f t="shared" si="15"/>
        <v>126492.5</v>
      </c>
    </row>
    <row r="252" spans="1:11" ht="16.5" x14ac:dyDescent="0.3">
      <c r="A252" s="4">
        <v>43070</v>
      </c>
      <c r="B252" s="2" t="s">
        <v>25</v>
      </c>
      <c r="C252" s="2" t="s">
        <v>19</v>
      </c>
      <c r="D252" s="2" t="s">
        <v>20</v>
      </c>
      <c r="E252" s="16" t="s">
        <v>14</v>
      </c>
      <c r="F252" s="2">
        <v>2136</v>
      </c>
      <c r="G252" s="2">
        <v>5</v>
      </c>
      <c r="H252" s="2">
        <f t="shared" si="12"/>
        <v>25</v>
      </c>
      <c r="I252" s="2">
        <f t="shared" si="13"/>
        <v>53400</v>
      </c>
      <c r="J252" s="16">
        <f t="shared" si="14"/>
        <v>2670</v>
      </c>
      <c r="K252" s="2">
        <f t="shared" si="15"/>
        <v>50730</v>
      </c>
    </row>
    <row r="253" spans="1:11" ht="16.5" x14ac:dyDescent="0.3">
      <c r="A253" s="4">
        <v>43070</v>
      </c>
      <c r="B253" s="2" t="s">
        <v>25</v>
      </c>
      <c r="C253" s="2" t="s">
        <v>15</v>
      </c>
      <c r="D253" s="2" t="s">
        <v>29</v>
      </c>
      <c r="E253" s="16" t="s">
        <v>14</v>
      </c>
      <c r="F253" s="2">
        <v>2116</v>
      </c>
      <c r="G253" s="2">
        <v>40</v>
      </c>
      <c r="H253" s="2">
        <f t="shared" si="12"/>
        <v>60</v>
      </c>
      <c r="I253" s="2">
        <f t="shared" si="13"/>
        <v>126960</v>
      </c>
      <c r="J253" s="16">
        <f t="shared" si="14"/>
        <v>6348</v>
      </c>
      <c r="K253" s="2">
        <f t="shared" si="15"/>
        <v>120612</v>
      </c>
    </row>
    <row r="254" spans="1:11" ht="16.5" x14ac:dyDescent="0.3">
      <c r="A254" s="4">
        <v>42736</v>
      </c>
      <c r="B254" s="2" t="s">
        <v>11</v>
      </c>
      <c r="C254" s="2" t="s">
        <v>34</v>
      </c>
      <c r="D254" s="2" t="s">
        <v>13</v>
      </c>
      <c r="E254" s="16" t="s">
        <v>21</v>
      </c>
      <c r="F254" s="2">
        <v>555</v>
      </c>
      <c r="G254" s="2">
        <v>30</v>
      </c>
      <c r="H254" s="2">
        <f t="shared" si="12"/>
        <v>33</v>
      </c>
      <c r="I254" s="2">
        <f t="shared" si="13"/>
        <v>18315</v>
      </c>
      <c r="J254" s="16">
        <f t="shared" si="14"/>
        <v>915.75</v>
      </c>
      <c r="K254" s="2">
        <f t="shared" si="15"/>
        <v>17399.25</v>
      </c>
    </row>
    <row r="255" spans="1:11" ht="16.5" x14ac:dyDescent="0.3">
      <c r="A255" s="4">
        <v>42736</v>
      </c>
      <c r="B255" s="2" t="s">
        <v>11</v>
      </c>
      <c r="C255" s="2" t="s">
        <v>23</v>
      </c>
      <c r="D255" s="2" t="s">
        <v>29</v>
      </c>
      <c r="E255" s="16" t="s">
        <v>21</v>
      </c>
      <c r="F255" s="2">
        <v>2861</v>
      </c>
      <c r="G255" s="2">
        <v>40</v>
      </c>
      <c r="H255" s="2">
        <f t="shared" si="12"/>
        <v>43</v>
      </c>
      <c r="I255" s="2">
        <f t="shared" si="13"/>
        <v>123023</v>
      </c>
      <c r="J255" s="16">
        <f t="shared" si="14"/>
        <v>6151.1500000000005</v>
      </c>
      <c r="K255" s="2">
        <f t="shared" si="15"/>
        <v>116871.85</v>
      </c>
    </row>
    <row r="256" spans="1:11" ht="16.5" x14ac:dyDescent="0.3">
      <c r="A256" s="4">
        <v>42767</v>
      </c>
      <c r="B256" s="2" t="s">
        <v>27</v>
      </c>
      <c r="C256" s="2" t="s">
        <v>15</v>
      </c>
      <c r="D256" s="2" t="s">
        <v>22</v>
      </c>
      <c r="E256" s="16" t="s">
        <v>17</v>
      </c>
      <c r="F256" s="2">
        <v>807</v>
      </c>
      <c r="G256" s="2">
        <v>3</v>
      </c>
      <c r="H256" s="2">
        <f t="shared" si="12"/>
        <v>18</v>
      </c>
      <c r="I256" s="2">
        <f t="shared" si="13"/>
        <v>14526</v>
      </c>
      <c r="J256" s="16">
        <f t="shared" si="14"/>
        <v>726.30000000000007</v>
      </c>
      <c r="K256" s="2">
        <f t="shared" si="15"/>
        <v>13799.7</v>
      </c>
    </row>
    <row r="257" spans="1:11" ht="16.5" x14ac:dyDescent="0.3">
      <c r="A257" s="4">
        <v>42887</v>
      </c>
      <c r="B257" s="2" t="s">
        <v>18</v>
      </c>
      <c r="C257" s="2" t="s">
        <v>34</v>
      </c>
      <c r="D257" s="2" t="s">
        <v>22</v>
      </c>
      <c r="E257" s="16" t="s">
        <v>17</v>
      </c>
      <c r="F257" s="2">
        <v>602</v>
      </c>
      <c r="G257" s="2">
        <v>3</v>
      </c>
      <c r="H257" s="2">
        <f t="shared" si="12"/>
        <v>18</v>
      </c>
      <c r="I257" s="2">
        <f t="shared" si="13"/>
        <v>10836</v>
      </c>
      <c r="J257" s="16">
        <f t="shared" si="14"/>
        <v>541.80000000000007</v>
      </c>
      <c r="K257" s="2">
        <f t="shared" si="15"/>
        <v>10294.200000000001</v>
      </c>
    </row>
    <row r="258" spans="1:11" ht="16.5" x14ac:dyDescent="0.3">
      <c r="A258" s="4">
        <v>42948</v>
      </c>
      <c r="B258" s="2" t="s">
        <v>32</v>
      </c>
      <c r="C258" s="2" t="s">
        <v>34</v>
      </c>
      <c r="D258" s="2" t="s">
        <v>26</v>
      </c>
      <c r="E258" s="16" t="s">
        <v>21</v>
      </c>
      <c r="F258" s="2">
        <v>2832</v>
      </c>
      <c r="G258" s="2">
        <v>2</v>
      </c>
      <c r="H258" s="2">
        <f t="shared" si="12"/>
        <v>5</v>
      </c>
      <c r="I258" s="2">
        <f t="shared" si="13"/>
        <v>14160</v>
      </c>
      <c r="J258" s="16">
        <f t="shared" si="14"/>
        <v>708</v>
      </c>
      <c r="K258" s="2">
        <f t="shared" si="15"/>
        <v>13452</v>
      </c>
    </row>
    <row r="259" spans="1:11" ht="16.5" x14ac:dyDescent="0.3">
      <c r="A259" s="4">
        <v>42948</v>
      </c>
      <c r="B259" s="2" t="s">
        <v>32</v>
      </c>
      <c r="C259" s="2" t="s">
        <v>19</v>
      </c>
      <c r="D259" s="2" t="s">
        <v>35</v>
      </c>
      <c r="E259" s="16" t="s">
        <v>21</v>
      </c>
      <c r="F259" s="2">
        <v>1579</v>
      </c>
      <c r="G259" s="2">
        <v>25</v>
      </c>
      <c r="H259" s="2">
        <f t="shared" ref="H259:H322" si="16">IF(E259="High",G259+20,IF(E259="Medium",G259+15,IF(E259="Low",G259+10,G259+3)))</f>
        <v>28</v>
      </c>
      <c r="I259" s="2">
        <f t="shared" ref="I259:I322" si="17">F259*H259</f>
        <v>44212</v>
      </c>
      <c r="J259" s="16">
        <f t="shared" ref="J259:J322" si="18">IF(AND(D259="Note Book",F259&gt;2500),I259*12%,IF(AND(E259="Long Note Book",N259&lt;1800),I259*8%,I259*5%))</f>
        <v>2210.6</v>
      </c>
      <c r="K259" s="2">
        <f t="shared" ref="K259:K322" si="19">I259-J259</f>
        <v>42001.4</v>
      </c>
    </row>
    <row r="260" spans="1:11" ht="16.5" x14ac:dyDescent="0.3">
      <c r="A260" s="4">
        <v>43009</v>
      </c>
      <c r="B260" s="2" t="s">
        <v>11</v>
      </c>
      <c r="C260" s="2" t="s">
        <v>34</v>
      </c>
      <c r="D260" s="2" t="s">
        <v>30</v>
      </c>
      <c r="E260" s="16" t="s">
        <v>21</v>
      </c>
      <c r="F260" s="2">
        <v>861</v>
      </c>
      <c r="G260" s="2">
        <v>6</v>
      </c>
      <c r="H260" s="2">
        <f t="shared" si="16"/>
        <v>9</v>
      </c>
      <c r="I260" s="2">
        <f t="shared" si="17"/>
        <v>7749</v>
      </c>
      <c r="J260" s="16">
        <f t="shared" si="18"/>
        <v>387.45000000000005</v>
      </c>
      <c r="K260" s="2">
        <f t="shared" si="19"/>
        <v>7361.55</v>
      </c>
    </row>
    <row r="261" spans="1:11" ht="16.5" x14ac:dyDescent="0.3">
      <c r="A261" s="4">
        <v>43009</v>
      </c>
      <c r="B261" s="2" t="s">
        <v>11</v>
      </c>
      <c r="C261" s="2" t="s">
        <v>19</v>
      </c>
      <c r="D261" s="2" t="s">
        <v>36</v>
      </c>
      <c r="E261" s="16" t="s">
        <v>21</v>
      </c>
      <c r="F261" s="2">
        <v>704</v>
      </c>
      <c r="G261" s="2">
        <v>10</v>
      </c>
      <c r="H261" s="2">
        <f t="shared" si="16"/>
        <v>13</v>
      </c>
      <c r="I261" s="2">
        <f t="shared" si="17"/>
        <v>9152</v>
      </c>
      <c r="J261" s="16">
        <f t="shared" si="18"/>
        <v>457.6</v>
      </c>
      <c r="K261" s="2">
        <f t="shared" si="19"/>
        <v>8694.4</v>
      </c>
    </row>
    <row r="262" spans="1:11" ht="16.5" x14ac:dyDescent="0.3">
      <c r="A262" s="4">
        <v>43070</v>
      </c>
      <c r="B262" s="2" t="s">
        <v>25</v>
      </c>
      <c r="C262" s="2" t="s">
        <v>19</v>
      </c>
      <c r="D262" s="2" t="s">
        <v>33</v>
      </c>
      <c r="E262" s="16" t="s">
        <v>24</v>
      </c>
      <c r="F262" s="2">
        <v>1033</v>
      </c>
      <c r="G262" s="2">
        <v>20</v>
      </c>
      <c r="H262" s="2">
        <f t="shared" si="16"/>
        <v>30</v>
      </c>
      <c r="I262" s="2">
        <f t="shared" si="17"/>
        <v>30990</v>
      </c>
      <c r="J262" s="16">
        <f t="shared" si="18"/>
        <v>1549.5</v>
      </c>
      <c r="K262" s="2">
        <f t="shared" si="19"/>
        <v>29440.5</v>
      </c>
    </row>
    <row r="263" spans="1:11" ht="16.5" x14ac:dyDescent="0.3">
      <c r="A263" s="4">
        <v>43070</v>
      </c>
      <c r="B263" s="2" t="s">
        <v>25</v>
      </c>
      <c r="C263" s="2" t="s">
        <v>15</v>
      </c>
      <c r="D263" s="2" t="s">
        <v>26</v>
      </c>
      <c r="E263" s="16" t="s">
        <v>14</v>
      </c>
      <c r="F263" s="2">
        <v>1250</v>
      </c>
      <c r="G263" s="2">
        <v>2</v>
      </c>
      <c r="H263" s="2">
        <f t="shared" si="16"/>
        <v>22</v>
      </c>
      <c r="I263" s="2">
        <f t="shared" si="17"/>
        <v>27500</v>
      </c>
      <c r="J263" s="16">
        <f t="shared" si="18"/>
        <v>1375</v>
      </c>
      <c r="K263" s="2">
        <f t="shared" si="19"/>
        <v>26125</v>
      </c>
    </row>
    <row r="264" spans="1:11" ht="16.5" x14ac:dyDescent="0.3">
      <c r="A264" s="4">
        <v>43009</v>
      </c>
      <c r="B264" s="2" t="s">
        <v>11</v>
      </c>
      <c r="C264" s="2" t="s">
        <v>12</v>
      </c>
      <c r="D264" s="2" t="s">
        <v>20</v>
      </c>
      <c r="E264" s="16" t="s">
        <v>14</v>
      </c>
      <c r="F264" s="2">
        <v>1389</v>
      </c>
      <c r="G264" s="2">
        <v>5</v>
      </c>
      <c r="H264" s="2">
        <f t="shared" si="16"/>
        <v>25</v>
      </c>
      <c r="I264" s="2">
        <f t="shared" si="17"/>
        <v>34725</v>
      </c>
      <c r="J264" s="16">
        <f t="shared" si="18"/>
        <v>1736.25</v>
      </c>
      <c r="K264" s="2">
        <f t="shared" si="19"/>
        <v>32988.75</v>
      </c>
    </row>
    <row r="265" spans="1:11" ht="16.5" x14ac:dyDescent="0.3">
      <c r="A265" s="4">
        <v>43040</v>
      </c>
      <c r="B265" s="2" t="s">
        <v>27</v>
      </c>
      <c r="C265" s="2" t="s">
        <v>34</v>
      </c>
      <c r="D265" s="2" t="s">
        <v>13</v>
      </c>
      <c r="E265" s="16" t="s">
        <v>21</v>
      </c>
      <c r="F265" s="2">
        <v>1265</v>
      </c>
      <c r="G265" s="2">
        <v>30</v>
      </c>
      <c r="H265" s="2">
        <f t="shared" si="16"/>
        <v>33</v>
      </c>
      <c r="I265" s="2">
        <f t="shared" si="17"/>
        <v>41745</v>
      </c>
      <c r="J265" s="16">
        <f t="shared" si="18"/>
        <v>2087.25</v>
      </c>
      <c r="K265" s="2">
        <f t="shared" si="19"/>
        <v>39657.75</v>
      </c>
    </row>
    <row r="266" spans="1:11" ht="16.5" x14ac:dyDescent="0.3">
      <c r="A266" s="4">
        <v>43040</v>
      </c>
      <c r="B266" s="2" t="s">
        <v>27</v>
      </c>
      <c r="C266" s="2" t="s">
        <v>15</v>
      </c>
      <c r="D266" s="2" t="s">
        <v>29</v>
      </c>
      <c r="E266" s="16" t="s">
        <v>21</v>
      </c>
      <c r="F266" s="2">
        <v>2297</v>
      </c>
      <c r="G266" s="2">
        <v>40</v>
      </c>
      <c r="H266" s="2">
        <f t="shared" si="16"/>
        <v>43</v>
      </c>
      <c r="I266" s="2">
        <f t="shared" si="17"/>
        <v>98771</v>
      </c>
      <c r="J266" s="16">
        <f t="shared" si="18"/>
        <v>4938.55</v>
      </c>
      <c r="K266" s="2">
        <f t="shared" si="19"/>
        <v>93832.45</v>
      </c>
    </row>
    <row r="267" spans="1:11" ht="16.5" x14ac:dyDescent="0.3">
      <c r="A267" s="4">
        <v>43070</v>
      </c>
      <c r="B267" s="2" t="s">
        <v>25</v>
      </c>
      <c r="C267" s="2" t="s">
        <v>34</v>
      </c>
      <c r="D267" s="2" t="s">
        <v>33</v>
      </c>
      <c r="E267" s="16" t="s">
        <v>17</v>
      </c>
      <c r="F267" s="2">
        <v>2663</v>
      </c>
      <c r="G267" s="2">
        <v>20</v>
      </c>
      <c r="H267" s="2">
        <f t="shared" si="16"/>
        <v>35</v>
      </c>
      <c r="I267" s="2">
        <f t="shared" si="17"/>
        <v>93205</v>
      </c>
      <c r="J267" s="16">
        <f t="shared" si="18"/>
        <v>4660.25</v>
      </c>
      <c r="K267" s="2">
        <f t="shared" si="19"/>
        <v>88544.75</v>
      </c>
    </row>
    <row r="268" spans="1:11" ht="16.5" x14ac:dyDescent="0.3">
      <c r="A268" s="4">
        <v>43070</v>
      </c>
      <c r="B268" s="2" t="s">
        <v>25</v>
      </c>
      <c r="C268" s="2" t="s">
        <v>34</v>
      </c>
      <c r="D268" s="2" t="s">
        <v>20</v>
      </c>
      <c r="E268" s="16" t="s">
        <v>17</v>
      </c>
      <c r="F268" s="2">
        <v>570</v>
      </c>
      <c r="G268" s="2">
        <v>5</v>
      </c>
      <c r="H268" s="2">
        <f t="shared" si="16"/>
        <v>20</v>
      </c>
      <c r="I268" s="2">
        <f t="shared" si="17"/>
        <v>11400</v>
      </c>
      <c r="J268" s="16">
        <f t="shared" si="18"/>
        <v>570</v>
      </c>
      <c r="K268" s="2">
        <f t="shared" si="19"/>
        <v>10830</v>
      </c>
    </row>
    <row r="269" spans="1:11" ht="16.5" x14ac:dyDescent="0.3">
      <c r="A269" s="4">
        <v>43070</v>
      </c>
      <c r="B269" s="2" t="s">
        <v>25</v>
      </c>
      <c r="C269" s="2" t="s">
        <v>19</v>
      </c>
      <c r="D269" s="2" t="s">
        <v>16</v>
      </c>
      <c r="E269" s="16" t="s">
        <v>21</v>
      </c>
      <c r="F269" s="2">
        <v>2487</v>
      </c>
      <c r="G269" s="2">
        <v>4</v>
      </c>
      <c r="H269" s="2">
        <f t="shared" si="16"/>
        <v>7</v>
      </c>
      <c r="I269" s="2">
        <f t="shared" si="17"/>
        <v>17409</v>
      </c>
      <c r="J269" s="16">
        <f t="shared" si="18"/>
        <v>870.45</v>
      </c>
      <c r="K269" s="2">
        <f t="shared" si="19"/>
        <v>16538.55</v>
      </c>
    </row>
    <row r="270" spans="1:11" ht="16.5" x14ac:dyDescent="0.3">
      <c r="A270" s="4">
        <v>42767</v>
      </c>
      <c r="B270" s="2" t="s">
        <v>27</v>
      </c>
      <c r="C270" s="2" t="s">
        <v>15</v>
      </c>
      <c r="D270" s="2" t="s">
        <v>33</v>
      </c>
      <c r="E270" s="16" t="s">
        <v>21</v>
      </c>
      <c r="F270" s="2">
        <v>1350</v>
      </c>
      <c r="G270" s="2">
        <v>20</v>
      </c>
      <c r="H270" s="2">
        <f t="shared" si="16"/>
        <v>23</v>
      </c>
      <c r="I270" s="2">
        <f t="shared" si="17"/>
        <v>31050</v>
      </c>
      <c r="J270" s="16">
        <f t="shared" si="18"/>
        <v>1552.5</v>
      </c>
      <c r="K270" s="2">
        <f t="shared" si="19"/>
        <v>29497.5</v>
      </c>
    </row>
    <row r="271" spans="1:11" ht="16.5" x14ac:dyDescent="0.3">
      <c r="A271" s="4">
        <v>42948</v>
      </c>
      <c r="B271" s="2" t="s">
        <v>32</v>
      </c>
      <c r="C271" s="2" t="s">
        <v>12</v>
      </c>
      <c r="D271" s="2" t="s">
        <v>22</v>
      </c>
      <c r="E271" s="16" t="s">
        <v>21</v>
      </c>
      <c r="F271" s="2">
        <v>552</v>
      </c>
      <c r="G271" s="2">
        <v>3</v>
      </c>
      <c r="H271" s="2">
        <f t="shared" si="16"/>
        <v>6</v>
      </c>
      <c r="I271" s="2">
        <f t="shared" si="17"/>
        <v>3312</v>
      </c>
      <c r="J271" s="16">
        <f t="shared" si="18"/>
        <v>165.60000000000002</v>
      </c>
      <c r="K271" s="2">
        <f t="shared" si="19"/>
        <v>3146.4</v>
      </c>
    </row>
    <row r="272" spans="1:11" ht="16.5" x14ac:dyDescent="0.3">
      <c r="A272" s="4">
        <v>43009</v>
      </c>
      <c r="B272" s="2" t="s">
        <v>11</v>
      </c>
      <c r="C272" s="2" t="s">
        <v>12</v>
      </c>
      <c r="D272" s="2" t="s">
        <v>33</v>
      </c>
      <c r="E272" s="16" t="s">
        <v>24</v>
      </c>
      <c r="F272" s="2">
        <v>1228</v>
      </c>
      <c r="G272" s="2">
        <v>20</v>
      </c>
      <c r="H272" s="2">
        <f t="shared" si="16"/>
        <v>30</v>
      </c>
      <c r="I272" s="2">
        <f t="shared" si="17"/>
        <v>36840</v>
      </c>
      <c r="J272" s="16">
        <f t="shared" si="18"/>
        <v>1842</v>
      </c>
      <c r="K272" s="2">
        <f t="shared" si="19"/>
        <v>34998</v>
      </c>
    </row>
    <row r="273" spans="1:11" ht="16.5" x14ac:dyDescent="0.3">
      <c r="A273" s="4">
        <v>43070</v>
      </c>
      <c r="B273" s="2" t="s">
        <v>25</v>
      </c>
      <c r="C273" s="2" t="s">
        <v>15</v>
      </c>
      <c r="D273" s="2" t="s">
        <v>33</v>
      </c>
      <c r="E273" s="16" t="s">
        <v>14</v>
      </c>
      <c r="F273" s="2">
        <v>1250</v>
      </c>
      <c r="G273" s="2">
        <v>20</v>
      </c>
      <c r="H273" s="2">
        <f t="shared" si="16"/>
        <v>40</v>
      </c>
      <c r="I273" s="2">
        <f t="shared" si="17"/>
        <v>50000</v>
      </c>
      <c r="J273" s="16">
        <f t="shared" si="18"/>
        <v>2500</v>
      </c>
      <c r="K273" s="2">
        <f t="shared" si="19"/>
        <v>47500</v>
      </c>
    </row>
    <row r="274" spans="1:11" ht="16.5" x14ac:dyDescent="0.3">
      <c r="A274" s="4">
        <v>42826</v>
      </c>
      <c r="B274" s="2" t="s">
        <v>31</v>
      </c>
      <c r="C274" s="2" t="s">
        <v>19</v>
      </c>
      <c r="D274" s="2" t="s">
        <v>20</v>
      </c>
      <c r="E274" s="16" t="s">
        <v>14</v>
      </c>
      <c r="F274" s="2">
        <v>3801</v>
      </c>
      <c r="G274" s="2">
        <v>5</v>
      </c>
      <c r="H274" s="2">
        <f t="shared" si="16"/>
        <v>25</v>
      </c>
      <c r="I274" s="2">
        <f t="shared" si="17"/>
        <v>95025</v>
      </c>
      <c r="J274" s="16">
        <f t="shared" si="18"/>
        <v>4751.25</v>
      </c>
      <c r="K274" s="2">
        <f t="shared" si="19"/>
        <v>90273.75</v>
      </c>
    </row>
    <row r="275" spans="1:11" ht="16.5" x14ac:dyDescent="0.3">
      <c r="A275" s="4">
        <v>42736</v>
      </c>
      <c r="B275" s="2" t="s">
        <v>11</v>
      </c>
      <c r="C275" s="2" t="s">
        <v>34</v>
      </c>
      <c r="D275" s="2" t="s">
        <v>26</v>
      </c>
      <c r="E275" s="16" t="s">
        <v>21</v>
      </c>
      <c r="F275" s="2">
        <v>1117.5</v>
      </c>
      <c r="G275" s="2">
        <v>2</v>
      </c>
      <c r="H275" s="2">
        <f t="shared" si="16"/>
        <v>5</v>
      </c>
      <c r="I275" s="2">
        <f t="shared" si="17"/>
        <v>5587.5</v>
      </c>
      <c r="J275" s="16">
        <f t="shared" si="18"/>
        <v>279.375</v>
      </c>
      <c r="K275" s="2">
        <f t="shared" si="19"/>
        <v>5308.125</v>
      </c>
    </row>
    <row r="276" spans="1:11" ht="16.5" x14ac:dyDescent="0.3">
      <c r="A276" s="4">
        <v>42887</v>
      </c>
      <c r="B276" s="2" t="s">
        <v>18</v>
      </c>
      <c r="C276" s="2" t="s">
        <v>12</v>
      </c>
      <c r="D276" s="2" t="s">
        <v>29</v>
      </c>
      <c r="E276" s="16" t="s">
        <v>21</v>
      </c>
      <c r="F276" s="2">
        <v>2844</v>
      </c>
      <c r="G276" s="2">
        <v>40</v>
      </c>
      <c r="H276" s="2">
        <f t="shared" si="16"/>
        <v>43</v>
      </c>
      <c r="I276" s="2">
        <f t="shared" si="17"/>
        <v>122292</v>
      </c>
      <c r="J276" s="16">
        <f t="shared" si="18"/>
        <v>6114.6</v>
      </c>
      <c r="K276" s="2">
        <f t="shared" si="19"/>
        <v>116177.4</v>
      </c>
    </row>
    <row r="277" spans="1:11" ht="16.5" x14ac:dyDescent="0.3">
      <c r="A277" s="4">
        <v>42979</v>
      </c>
      <c r="B277" s="2" t="s">
        <v>25</v>
      </c>
      <c r="C277" s="2" t="s">
        <v>23</v>
      </c>
      <c r="D277" s="2" t="s">
        <v>16</v>
      </c>
      <c r="E277" s="16" t="s">
        <v>17</v>
      </c>
      <c r="F277" s="2">
        <v>562</v>
      </c>
      <c r="G277" s="2">
        <v>4</v>
      </c>
      <c r="H277" s="2">
        <f t="shared" si="16"/>
        <v>19</v>
      </c>
      <c r="I277" s="2">
        <f t="shared" si="17"/>
        <v>10678</v>
      </c>
      <c r="J277" s="16">
        <f t="shared" si="18"/>
        <v>533.9</v>
      </c>
      <c r="K277" s="2">
        <f t="shared" si="19"/>
        <v>10144.1</v>
      </c>
    </row>
    <row r="278" spans="1:11" ht="16.5" x14ac:dyDescent="0.3">
      <c r="A278" s="4">
        <v>43009</v>
      </c>
      <c r="B278" s="2" t="s">
        <v>11</v>
      </c>
      <c r="C278" s="2" t="s">
        <v>12</v>
      </c>
      <c r="D278" s="2" t="s">
        <v>22</v>
      </c>
      <c r="E278" s="16" t="s">
        <v>17</v>
      </c>
      <c r="F278" s="2">
        <v>2299</v>
      </c>
      <c r="G278" s="2">
        <v>3</v>
      </c>
      <c r="H278" s="2">
        <f t="shared" si="16"/>
        <v>18</v>
      </c>
      <c r="I278" s="2">
        <f t="shared" si="17"/>
        <v>41382</v>
      </c>
      <c r="J278" s="16">
        <f t="shared" si="18"/>
        <v>2069.1</v>
      </c>
      <c r="K278" s="2">
        <f t="shared" si="19"/>
        <v>39312.9</v>
      </c>
    </row>
    <row r="279" spans="1:11" ht="16.5" x14ac:dyDescent="0.3">
      <c r="A279" s="4">
        <v>43040</v>
      </c>
      <c r="B279" s="2" t="s">
        <v>27</v>
      </c>
      <c r="C279" s="2" t="s">
        <v>34</v>
      </c>
      <c r="D279" s="2" t="s">
        <v>29</v>
      </c>
      <c r="E279" s="16" t="s">
        <v>21</v>
      </c>
      <c r="F279" s="2">
        <v>2030</v>
      </c>
      <c r="G279" s="2">
        <v>40</v>
      </c>
      <c r="H279" s="2">
        <f t="shared" si="16"/>
        <v>43</v>
      </c>
      <c r="I279" s="2">
        <f t="shared" si="17"/>
        <v>87290</v>
      </c>
      <c r="J279" s="16">
        <f t="shared" si="18"/>
        <v>4364.5</v>
      </c>
      <c r="K279" s="2">
        <f t="shared" si="19"/>
        <v>82925.5</v>
      </c>
    </row>
    <row r="280" spans="1:11" ht="16.5" x14ac:dyDescent="0.3">
      <c r="A280" s="4">
        <v>43040</v>
      </c>
      <c r="B280" s="2" t="s">
        <v>27</v>
      </c>
      <c r="C280" s="2" t="s">
        <v>34</v>
      </c>
      <c r="D280" s="2" t="s">
        <v>29</v>
      </c>
      <c r="E280" s="16" t="s">
        <v>21</v>
      </c>
      <c r="F280" s="2">
        <v>263</v>
      </c>
      <c r="G280" s="2">
        <v>40</v>
      </c>
      <c r="H280" s="2">
        <f t="shared" si="16"/>
        <v>43</v>
      </c>
      <c r="I280" s="2">
        <f t="shared" si="17"/>
        <v>11309</v>
      </c>
      <c r="J280" s="16">
        <f t="shared" si="18"/>
        <v>565.45000000000005</v>
      </c>
      <c r="K280" s="2">
        <f t="shared" si="19"/>
        <v>10743.55</v>
      </c>
    </row>
    <row r="281" spans="1:11" ht="16.5" x14ac:dyDescent="0.3">
      <c r="A281" s="4">
        <v>43070</v>
      </c>
      <c r="B281" s="2" t="s">
        <v>25</v>
      </c>
      <c r="C281" s="2" t="s">
        <v>15</v>
      </c>
      <c r="D281" s="2" t="s">
        <v>26</v>
      </c>
      <c r="E281" s="16" t="s">
        <v>21</v>
      </c>
      <c r="F281" s="2">
        <v>887</v>
      </c>
      <c r="G281" s="2">
        <v>2</v>
      </c>
      <c r="H281" s="2">
        <f t="shared" si="16"/>
        <v>5</v>
      </c>
      <c r="I281" s="2">
        <f t="shared" si="17"/>
        <v>4435</v>
      </c>
      <c r="J281" s="16">
        <f t="shared" si="18"/>
        <v>221.75</v>
      </c>
      <c r="K281" s="2">
        <f t="shared" si="19"/>
        <v>4213.25</v>
      </c>
    </row>
    <row r="282" spans="1:11" ht="16.5" x14ac:dyDescent="0.3">
      <c r="A282" s="4">
        <v>42826</v>
      </c>
      <c r="B282" s="2" t="s">
        <v>31</v>
      </c>
      <c r="C282" s="2" t="s">
        <v>23</v>
      </c>
      <c r="D282" s="2" t="s">
        <v>20</v>
      </c>
      <c r="E282" s="16" t="s">
        <v>21</v>
      </c>
      <c r="F282" s="2">
        <v>980</v>
      </c>
      <c r="G282" s="2">
        <v>5</v>
      </c>
      <c r="H282" s="2">
        <f t="shared" si="16"/>
        <v>8</v>
      </c>
      <c r="I282" s="2">
        <f t="shared" si="17"/>
        <v>7840</v>
      </c>
      <c r="J282" s="16">
        <f t="shared" si="18"/>
        <v>392</v>
      </c>
      <c r="K282" s="2">
        <f t="shared" si="19"/>
        <v>7448</v>
      </c>
    </row>
    <row r="283" spans="1:11" ht="16.5" x14ac:dyDescent="0.3">
      <c r="A283" s="4">
        <v>42856</v>
      </c>
      <c r="B283" s="2" t="s">
        <v>37</v>
      </c>
      <c r="C283" s="2" t="s">
        <v>15</v>
      </c>
      <c r="D283" s="2" t="s">
        <v>35</v>
      </c>
      <c r="E283" s="16" t="s">
        <v>24</v>
      </c>
      <c r="F283" s="2">
        <v>1460</v>
      </c>
      <c r="G283" s="2">
        <v>25</v>
      </c>
      <c r="H283" s="2">
        <f t="shared" si="16"/>
        <v>35</v>
      </c>
      <c r="I283" s="2">
        <f t="shared" si="17"/>
        <v>51100</v>
      </c>
      <c r="J283" s="16">
        <f t="shared" si="18"/>
        <v>2555</v>
      </c>
      <c r="K283" s="2">
        <f t="shared" si="19"/>
        <v>48545</v>
      </c>
    </row>
    <row r="284" spans="1:11" ht="16.5" x14ac:dyDescent="0.3">
      <c r="A284" s="4">
        <v>43009</v>
      </c>
      <c r="B284" s="2" t="s">
        <v>11</v>
      </c>
      <c r="C284" s="2" t="s">
        <v>19</v>
      </c>
      <c r="D284" s="2" t="s">
        <v>30</v>
      </c>
      <c r="E284" s="16" t="s">
        <v>14</v>
      </c>
      <c r="F284" s="2">
        <v>1403</v>
      </c>
      <c r="G284" s="2">
        <v>6</v>
      </c>
      <c r="H284" s="2">
        <f t="shared" si="16"/>
        <v>26</v>
      </c>
      <c r="I284" s="2">
        <f t="shared" si="17"/>
        <v>36478</v>
      </c>
      <c r="J284" s="16">
        <f t="shared" si="18"/>
        <v>1823.9</v>
      </c>
      <c r="K284" s="2">
        <f t="shared" si="19"/>
        <v>34654.1</v>
      </c>
    </row>
    <row r="285" spans="1:11" ht="16.5" x14ac:dyDescent="0.3">
      <c r="A285" s="4">
        <v>43040</v>
      </c>
      <c r="B285" s="2" t="s">
        <v>27</v>
      </c>
      <c r="C285" s="2" t="s">
        <v>34</v>
      </c>
      <c r="D285" s="2" t="s">
        <v>20</v>
      </c>
      <c r="E285" s="16" t="s">
        <v>14</v>
      </c>
      <c r="F285" s="2">
        <v>2723</v>
      </c>
      <c r="G285" s="2">
        <v>5</v>
      </c>
      <c r="H285" s="2">
        <f t="shared" si="16"/>
        <v>25</v>
      </c>
      <c r="I285" s="2">
        <f t="shared" si="17"/>
        <v>68075</v>
      </c>
      <c r="J285" s="16">
        <f t="shared" si="18"/>
        <v>3403.75</v>
      </c>
      <c r="K285" s="2">
        <f t="shared" si="19"/>
        <v>64671.25</v>
      </c>
    </row>
    <row r="286" spans="1:11" ht="16.5" x14ac:dyDescent="0.3">
      <c r="A286" s="4">
        <v>42887</v>
      </c>
      <c r="B286" s="2" t="s">
        <v>18</v>
      </c>
      <c r="C286" s="2" t="s">
        <v>19</v>
      </c>
      <c r="D286" s="2" t="s">
        <v>26</v>
      </c>
      <c r="E286" s="16" t="s">
        <v>21</v>
      </c>
      <c r="F286" s="2">
        <v>1496</v>
      </c>
      <c r="G286" s="2">
        <v>2</v>
      </c>
      <c r="H286" s="2">
        <f t="shared" si="16"/>
        <v>5</v>
      </c>
      <c r="I286" s="2">
        <f t="shared" si="17"/>
        <v>7480</v>
      </c>
      <c r="J286" s="16">
        <f t="shared" si="18"/>
        <v>374</v>
      </c>
      <c r="K286" s="2">
        <f t="shared" si="19"/>
        <v>7106</v>
      </c>
    </row>
    <row r="287" spans="1:11" ht="16.5" x14ac:dyDescent="0.3">
      <c r="A287" s="4">
        <v>43009</v>
      </c>
      <c r="B287" s="2" t="s">
        <v>11</v>
      </c>
      <c r="C287" s="2" t="s">
        <v>12</v>
      </c>
      <c r="D287" s="2" t="s">
        <v>36</v>
      </c>
      <c r="E287" s="16" t="s">
        <v>21</v>
      </c>
      <c r="F287" s="2">
        <v>2299</v>
      </c>
      <c r="G287" s="2">
        <v>10</v>
      </c>
      <c r="H287" s="2">
        <f t="shared" si="16"/>
        <v>13</v>
      </c>
      <c r="I287" s="2">
        <f t="shared" si="17"/>
        <v>29887</v>
      </c>
      <c r="J287" s="16">
        <f t="shared" si="18"/>
        <v>1494.3500000000001</v>
      </c>
      <c r="K287" s="2">
        <f t="shared" si="19"/>
        <v>28392.65</v>
      </c>
    </row>
    <row r="288" spans="1:11" ht="16.5" x14ac:dyDescent="0.3">
      <c r="A288" s="4">
        <v>43009</v>
      </c>
      <c r="B288" s="2" t="s">
        <v>11</v>
      </c>
      <c r="C288" s="2" t="s">
        <v>34</v>
      </c>
      <c r="D288" s="2" t="s">
        <v>22</v>
      </c>
      <c r="E288" s="16" t="s">
        <v>17</v>
      </c>
      <c r="F288" s="2">
        <v>727</v>
      </c>
      <c r="G288" s="2">
        <v>3</v>
      </c>
      <c r="H288" s="2">
        <f t="shared" si="16"/>
        <v>18</v>
      </c>
      <c r="I288" s="2">
        <f t="shared" si="17"/>
        <v>13086</v>
      </c>
      <c r="J288" s="16">
        <f t="shared" si="18"/>
        <v>654.30000000000007</v>
      </c>
      <c r="K288" s="2">
        <f t="shared" si="19"/>
        <v>12431.7</v>
      </c>
    </row>
    <row r="289" spans="1:11" ht="16.5" x14ac:dyDescent="0.3">
      <c r="A289" s="4">
        <v>42767</v>
      </c>
      <c r="B289" s="2" t="s">
        <v>27</v>
      </c>
      <c r="C289" s="2" t="s">
        <v>12</v>
      </c>
      <c r="D289" s="2" t="s">
        <v>26</v>
      </c>
      <c r="E289" s="16" t="s">
        <v>17</v>
      </c>
      <c r="F289" s="2">
        <v>952</v>
      </c>
      <c r="G289" s="2">
        <v>2</v>
      </c>
      <c r="H289" s="2">
        <f t="shared" si="16"/>
        <v>17</v>
      </c>
      <c r="I289" s="2">
        <f t="shared" si="17"/>
        <v>16184</v>
      </c>
      <c r="J289" s="16">
        <f t="shared" si="18"/>
        <v>809.2</v>
      </c>
      <c r="K289" s="2">
        <f t="shared" si="19"/>
        <v>15374.8</v>
      </c>
    </row>
    <row r="290" spans="1:11" ht="16.5" x14ac:dyDescent="0.3">
      <c r="A290" s="4">
        <v>42767</v>
      </c>
      <c r="B290" s="2" t="s">
        <v>27</v>
      </c>
      <c r="C290" s="2" t="s">
        <v>34</v>
      </c>
      <c r="D290" s="2" t="s">
        <v>22</v>
      </c>
      <c r="E290" s="16" t="s">
        <v>21</v>
      </c>
      <c r="F290" s="2">
        <v>2755</v>
      </c>
      <c r="G290" s="2">
        <v>3</v>
      </c>
      <c r="H290" s="2">
        <f t="shared" si="16"/>
        <v>6</v>
      </c>
      <c r="I290" s="2">
        <f t="shared" si="17"/>
        <v>16530</v>
      </c>
      <c r="J290" s="16">
        <f t="shared" si="18"/>
        <v>826.5</v>
      </c>
      <c r="K290" s="2">
        <f t="shared" si="19"/>
        <v>15703.5</v>
      </c>
    </row>
    <row r="291" spans="1:11" ht="16.5" x14ac:dyDescent="0.3">
      <c r="A291" s="4">
        <v>42856</v>
      </c>
      <c r="B291" s="2" t="s">
        <v>37</v>
      </c>
      <c r="C291" s="2" t="s">
        <v>15</v>
      </c>
      <c r="D291" s="2" t="s">
        <v>16</v>
      </c>
      <c r="E291" s="16" t="s">
        <v>21</v>
      </c>
      <c r="F291" s="2">
        <v>1530</v>
      </c>
      <c r="G291" s="2">
        <v>4</v>
      </c>
      <c r="H291" s="2">
        <f t="shared" si="16"/>
        <v>7</v>
      </c>
      <c r="I291" s="2">
        <f t="shared" si="17"/>
        <v>10710</v>
      </c>
      <c r="J291" s="16">
        <f t="shared" si="18"/>
        <v>535.5</v>
      </c>
      <c r="K291" s="2">
        <f t="shared" si="19"/>
        <v>10174.5</v>
      </c>
    </row>
    <row r="292" spans="1:11" ht="16.5" x14ac:dyDescent="0.3">
      <c r="A292" s="4">
        <v>42887</v>
      </c>
      <c r="B292" s="2" t="s">
        <v>18</v>
      </c>
      <c r="C292" s="2" t="s">
        <v>19</v>
      </c>
      <c r="D292" s="2" t="s">
        <v>30</v>
      </c>
      <c r="E292" s="16" t="s">
        <v>21</v>
      </c>
      <c r="F292" s="2">
        <v>1496</v>
      </c>
      <c r="G292" s="2">
        <v>6</v>
      </c>
      <c r="H292" s="2">
        <f t="shared" si="16"/>
        <v>9</v>
      </c>
      <c r="I292" s="2">
        <f t="shared" si="17"/>
        <v>13464</v>
      </c>
      <c r="J292" s="16">
        <f t="shared" si="18"/>
        <v>673.2</v>
      </c>
      <c r="K292" s="2">
        <f t="shared" si="19"/>
        <v>12790.8</v>
      </c>
    </row>
    <row r="293" spans="1:11" ht="16.5" x14ac:dyDescent="0.3">
      <c r="A293" s="4">
        <v>42887</v>
      </c>
      <c r="B293" s="2" t="s">
        <v>18</v>
      </c>
      <c r="C293" s="2" t="s">
        <v>23</v>
      </c>
      <c r="D293" s="2" t="s">
        <v>16</v>
      </c>
      <c r="E293" s="16" t="s">
        <v>24</v>
      </c>
      <c r="F293" s="2">
        <v>1498</v>
      </c>
      <c r="G293" s="2">
        <v>4</v>
      </c>
      <c r="H293" s="2">
        <f t="shared" si="16"/>
        <v>14</v>
      </c>
      <c r="I293" s="2">
        <f t="shared" si="17"/>
        <v>20972</v>
      </c>
      <c r="J293" s="16">
        <f t="shared" si="18"/>
        <v>1048.6000000000001</v>
      </c>
      <c r="K293" s="2">
        <f t="shared" si="19"/>
        <v>19923.400000000001</v>
      </c>
    </row>
    <row r="294" spans="1:11" ht="16.5" x14ac:dyDescent="0.3">
      <c r="A294" s="4">
        <v>43009</v>
      </c>
      <c r="B294" s="2" t="s">
        <v>11</v>
      </c>
      <c r="C294" s="2" t="s">
        <v>19</v>
      </c>
      <c r="D294" s="2" t="s">
        <v>13</v>
      </c>
      <c r="E294" s="16" t="s">
        <v>14</v>
      </c>
      <c r="F294" s="2">
        <v>1221</v>
      </c>
      <c r="G294" s="2">
        <v>30</v>
      </c>
      <c r="H294" s="2">
        <f t="shared" si="16"/>
        <v>50</v>
      </c>
      <c r="I294" s="2">
        <f t="shared" si="17"/>
        <v>61050</v>
      </c>
      <c r="J294" s="16">
        <f t="shared" si="18"/>
        <v>3052.5</v>
      </c>
      <c r="K294" s="2">
        <f t="shared" si="19"/>
        <v>57997.5</v>
      </c>
    </row>
    <row r="295" spans="1:11" ht="16.5" x14ac:dyDescent="0.3">
      <c r="A295" s="4">
        <v>43009</v>
      </c>
      <c r="B295" s="2" t="s">
        <v>11</v>
      </c>
      <c r="C295" s="2" t="s">
        <v>19</v>
      </c>
      <c r="D295" s="2" t="s">
        <v>28</v>
      </c>
      <c r="E295" s="16" t="s">
        <v>14</v>
      </c>
      <c r="F295" s="2">
        <v>2076</v>
      </c>
      <c r="G295" s="2">
        <v>120</v>
      </c>
      <c r="H295" s="2">
        <f t="shared" si="16"/>
        <v>140</v>
      </c>
      <c r="I295" s="2">
        <f t="shared" si="17"/>
        <v>290640</v>
      </c>
      <c r="J295" s="16">
        <f t="shared" si="18"/>
        <v>14532</v>
      </c>
      <c r="K295" s="2">
        <f t="shared" si="19"/>
        <v>276108</v>
      </c>
    </row>
    <row r="296" spans="1:11" ht="16.5" x14ac:dyDescent="0.3">
      <c r="A296" s="4">
        <v>42887</v>
      </c>
      <c r="B296" s="2" t="s">
        <v>18</v>
      </c>
      <c r="C296" s="2" t="s">
        <v>12</v>
      </c>
      <c r="D296" s="2" t="s">
        <v>30</v>
      </c>
      <c r="E296" s="16" t="s">
        <v>21</v>
      </c>
      <c r="F296" s="2">
        <v>2844</v>
      </c>
      <c r="G296" s="2">
        <v>6</v>
      </c>
      <c r="H296" s="2">
        <f t="shared" si="16"/>
        <v>9</v>
      </c>
      <c r="I296" s="2">
        <f t="shared" si="17"/>
        <v>25596</v>
      </c>
      <c r="J296" s="16">
        <f t="shared" si="18"/>
        <v>1279.8000000000002</v>
      </c>
      <c r="K296" s="2">
        <f t="shared" si="19"/>
        <v>24316.2</v>
      </c>
    </row>
    <row r="297" spans="1:11" ht="16.5" x14ac:dyDescent="0.3">
      <c r="A297" s="4">
        <v>42887</v>
      </c>
      <c r="B297" s="2" t="s">
        <v>18</v>
      </c>
      <c r="C297" s="2" t="s">
        <v>23</v>
      </c>
      <c r="D297" s="2" t="s">
        <v>30</v>
      </c>
      <c r="E297" s="16" t="s">
        <v>21</v>
      </c>
      <c r="F297" s="2">
        <v>1498</v>
      </c>
      <c r="G297" s="2">
        <v>6</v>
      </c>
      <c r="H297" s="2">
        <f t="shared" si="16"/>
        <v>9</v>
      </c>
      <c r="I297" s="2">
        <f t="shared" si="17"/>
        <v>13482</v>
      </c>
      <c r="J297" s="16">
        <f t="shared" si="18"/>
        <v>674.1</v>
      </c>
      <c r="K297" s="2">
        <f t="shared" si="19"/>
        <v>12807.9</v>
      </c>
    </row>
    <row r="298" spans="1:11" ht="16.5" x14ac:dyDescent="0.3">
      <c r="A298" s="4">
        <v>43009</v>
      </c>
      <c r="B298" s="2" t="s">
        <v>11</v>
      </c>
      <c r="C298" s="2" t="s">
        <v>19</v>
      </c>
      <c r="D298" s="2" t="s">
        <v>16</v>
      </c>
      <c r="E298" s="16" t="s">
        <v>17</v>
      </c>
      <c r="F298" s="2">
        <v>1221</v>
      </c>
      <c r="G298" s="2">
        <v>4</v>
      </c>
      <c r="H298" s="2">
        <f t="shared" si="16"/>
        <v>19</v>
      </c>
      <c r="I298" s="2">
        <f t="shared" si="17"/>
        <v>23199</v>
      </c>
      <c r="J298" s="16">
        <f t="shared" si="18"/>
        <v>1159.95</v>
      </c>
      <c r="K298" s="2">
        <f t="shared" si="19"/>
        <v>22039.05</v>
      </c>
    </row>
    <row r="299" spans="1:11" ht="16.5" x14ac:dyDescent="0.3">
      <c r="A299" s="4">
        <v>43040</v>
      </c>
      <c r="B299" s="2" t="s">
        <v>27</v>
      </c>
      <c r="C299" s="2" t="s">
        <v>23</v>
      </c>
      <c r="D299" s="2" t="s">
        <v>16</v>
      </c>
      <c r="E299" s="16" t="s">
        <v>17</v>
      </c>
      <c r="F299" s="2">
        <v>1123</v>
      </c>
      <c r="G299" s="2">
        <v>4</v>
      </c>
      <c r="H299" s="2">
        <f t="shared" si="16"/>
        <v>19</v>
      </c>
      <c r="I299" s="2">
        <f t="shared" si="17"/>
        <v>21337</v>
      </c>
      <c r="J299" s="16">
        <f t="shared" si="18"/>
        <v>1066.8500000000001</v>
      </c>
      <c r="K299" s="2">
        <f t="shared" si="19"/>
        <v>20270.150000000001</v>
      </c>
    </row>
    <row r="300" spans="1:11" ht="16.5" x14ac:dyDescent="0.3">
      <c r="A300" s="4">
        <v>43070</v>
      </c>
      <c r="B300" s="2" t="s">
        <v>25</v>
      </c>
      <c r="C300" s="2" t="s">
        <v>12</v>
      </c>
      <c r="D300" s="2" t="s">
        <v>26</v>
      </c>
      <c r="E300" s="16" t="s">
        <v>21</v>
      </c>
      <c r="F300" s="2">
        <v>2436</v>
      </c>
      <c r="G300" s="2">
        <v>2</v>
      </c>
      <c r="H300" s="2">
        <f t="shared" si="16"/>
        <v>5</v>
      </c>
      <c r="I300" s="2">
        <f t="shared" si="17"/>
        <v>12180</v>
      </c>
      <c r="J300" s="16">
        <f t="shared" si="18"/>
        <v>609</v>
      </c>
      <c r="K300" s="2">
        <f t="shared" si="19"/>
        <v>11571</v>
      </c>
    </row>
    <row r="301" spans="1:11" ht="16.5" x14ac:dyDescent="0.3">
      <c r="A301" s="4">
        <v>42736</v>
      </c>
      <c r="B301" s="2" t="s">
        <v>11</v>
      </c>
      <c r="C301" s="2" t="s">
        <v>19</v>
      </c>
      <c r="D301" s="2" t="s">
        <v>30</v>
      </c>
      <c r="E301" s="16" t="s">
        <v>21</v>
      </c>
      <c r="F301" s="2">
        <v>1987.5</v>
      </c>
      <c r="G301" s="2">
        <v>6</v>
      </c>
      <c r="H301" s="2">
        <f t="shared" si="16"/>
        <v>9</v>
      </c>
      <c r="I301" s="2">
        <f t="shared" si="17"/>
        <v>17887.5</v>
      </c>
      <c r="J301" s="16">
        <f t="shared" si="18"/>
        <v>894.375</v>
      </c>
      <c r="K301" s="2">
        <f t="shared" si="19"/>
        <v>16993.125</v>
      </c>
    </row>
    <row r="302" spans="1:11" ht="16.5" x14ac:dyDescent="0.3">
      <c r="A302" s="4">
        <v>42979</v>
      </c>
      <c r="B302" s="2" t="s">
        <v>25</v>
      </c>
      <c r="C302" s="2" t="s">
        <v>23</v>
      </c>
      <c r="D302" s="2" t="s">
        <v>22</v>
      </c>
      <c r="E302" s="16" t="s">
        <v>21</v>
      </c>
      <c r="F302" s="2">
        <v>1679</v>
      </c>
      <c r="G302" s="2">
        <v>3</v>
      </c>
      <c r="H302" s="2">
        <f t="shared" si="16"/>
        <v>6</v>
      </c>
      <c r="I302" s="2">
        <f t="shared" si="17"/>
        <v>10074</v>
      </c>
      <c r="J302" s="16">
        <f t="shared" si="18"/>
        <v>503.70000000000005</v>
      </c>
      <c r="K302" s="2">
        <f t="shared" si="19"/>
        <v>9570.2999999999993</v>
      </c>
    </row>
    <row r="303" spans="1:11" ht="16.5" x14ac:dyDescent="0.3">
      <c r="A303" s="4">
        <v>43009</v>
      </c>
      <c r="B303" s="2" t="s">
        <v>11</v>
      </c>
      <c r="C303" s="2" t="s">
        <v>34</v>
      </c>
      <c r="D303" s="2" t="s">
        <v>22</v>
      </c>
      <c r="E303" s="16" t="s">
        <v>21</v>
      </c>
      <c r="F303" s="2">
        <v>727</v>
      </c>
      <c r="G303" s="2">
        <v>3</v>
      </c>
      <c r="H303" s="2">
        <f t="shared" si="16"/>
        <v>6</v>
      </c>
      <c r="I303" s="2">
        <f t="shared" si="17"/>
        <v>4362</v>
      </c>
      <c r="J303" s="16">
        <f t="shared" si="18"/>
        <v>218.10000000000002</v>
      </c>
      <c r="K303" s="2">
        <f t="shared" si="19"/>
        <v>4143.8999999999996</v>
      </c>
    </row>
    <row r="304" spans="1:11" ht="16.5" x14ac:dyDescent="0.3">
      <c r="A304" s="4">
        <v>43009</v>
      </c>
      <c r="B304" s="2" t="s">
        <v>11</v>
      </c>
      <c r="C304" s="2" t="s">
        <v>19</v>
      </c>
      <c r="D304" s="2" t="s">
        <v>29</v>
      </c>
      <c r="E304" s="16" t="s">
        <v>24</v>
      </c>
      <c r="F304" s="2">
        <v>1403</v>
      </c>
      <c r="G304" s="2">
        <v>40</v>
      </c>
      <c r="H304" s="2">
        <f t="shared" si="16"/>
        <v>50</v>
      </c>
      <c r="I304" s="2">
        <f t="shared" si="17"/>
        <v>70150</v>
      </c>
      <c r="J304" s="16">
        <f t="shared" si="18"/>
        <v>3507.5</v>
      </c>
      <c r="K304" s="2">
        <f t="shared" si="19"/>
        <v>66642.5</v>
      </c>
    </row>
    <row r="305" spans="1:11" ht="16.5" x14ac:dyDescent="0.3">
      <c r="A305" s="4">
        <v>43009</v>
      </c>
      <c r="B305" s="2" t="s">
        <v>11</v>
      </c>
      <c r="C305" s="2" t="s">
        <v>19</v>
      </c>
      <c r="D305" s="2" t="s">
        <v>28</v>
      </c>
      <c r="E305" s="16" t="s">
        <v>14</v>
      </c>
      <c r="F305" s="2">
        <v>2076</v>
      </c>
      <c r="G305" s="2">
        <v>120</v>
      </c>
      <c r="H305" s="2">
        <f t="shared" si="16"/>
        <v>140</v>
      </c>
      <c r="I305" s="2">
        <f t="shared" si="17"/>
        <v>290640</v>
      </c>
      <c r="J305" s="16">
        <f t="shared" si="18"/>
        <v>14532</v>
      </c>
      <c r="K305" s="2">
        <f t="shared" si="19"/>
        <v>276108</v>
      </c>
    </row>
    <row r="306" spans="1:11" ht="16.5" x14ac:dyDescent="0.3">
      <c r="A306" s="4">
        <v>43009</v>
      </c>
      <c r="B306" s="2" t="s">
        <v>11</v>
      </c>
      <c r="C306" s="2" t="s">
        <v>19</v>
      </c>
      <c r="D306" s="2" t="s">
        <v>35</v>
      </c>
      <c r="E306" s="16" t="s">
        <v>14</v>
      </c>
      <c r="F306" s="2">
        <v>1757</v>
      </c>
      <c r="G306" s="2">
        <v>25</v>
      </c>
      <c r="H306" s="2">
        <f t="shared" si="16"/>
        <v>45</v>
      </c>
      <c r="I306" s="2">
        <f t="shared" si="17"/>
        <v>79065</v>
      </c>
      <c r="J306" s="16">
        <f t="shared" si="18"/>
        <v>3953.25</v>
      </c>
      <c r="K306" s="2">
        <f t="shared" si="19"/>
        <v>75111.75</v>
      </c>
    </row>
    <row r="307" spans="1:11" ht="16.5" x14ac:dyDescent="0.3">
      <c r="A307" s="4">
        <v>42948</v>
      </c>
      <c r="B307" s="2" t="s">
        <v>32</v>
      </c>
      <c r="C307" s="2" t="s">
        <v>34</v>
      </c>
      <c r="D307" s="2" t="s">
        <v>35</v>
      </c>
      <c r="E307" s="16" t="s">
        <v>21</v>
      </c>
      <c r="F307" s="2">
        <v>2198</v>
      </c>
      <c r="G307" s="2">
        <v>25</v>
      </c>
      <c r="H307" s="2">
        <f t="shared" si="16"/>
        <v>28</v>
      </c>
      <c r="I307" s="2">
        <f t="shared" si="17"/>
        <v>61544</v>
      </c>
      <c r="J307" s="16">
        <f t="shared" si="18"/>
        <v>3077.2000000000003</v>
      </c>
      <c r="K307" s="2">
        <f t="shared" si="19"/>
        <v>58466.8</v>
      </c>
    </row>
    <row r="308" spans="1:11" ht="16.5" x14ac:dyDescent="0.3">
      <c r="A308" s="4">
        <v>42948</v>
      </c>
      <c r="B308" s="2" t="s">
        <v>32</v>
      </c>
      <c r="C308" s="2" t="s">
        <v>15</v>
      </c>
      <c r="D308" s="2" t="s">
        <v>20</v>
      </c>
      <c r="E308" s="16" t="s">
        <v>21</v>
      </c>
      <c r="F308" s="2">
        <v>1743</v>
      </c>
      <c r="G308" s="2">
        <v>5</v>
      </c>
      <c r="H308" s="2">
        <f t="shared" si="16"/>
        <v>8</v>
      </c>
      <c r="I308" s="2">
        <f t="shared" si="17"/>
        <v>13944</v>
      </c>
      <c r="J308" s="16">
        <f t="shared" si="18"/>
        <v>697.2</v>
      </c>
      <c r="K308" s="2">
        <f t="shared" si="19"/>
        <v>13246.8</v>
      </c>
    </row>
    <row r="309" spans="1:11" ht="16.5" x14ac:dyDescent="0.3">
      <c r="A309" s="4">
        <v>43009</v>
      </c>
      <c r="B309" s="2" t="s">
        <v>11</v>
      </c>
      <c r="C309" s="2" t="s">
        <v>34</v>
      </c>
      <c r="D309" s="2" t="s">
        <v>30</v>
      </c>
      <c r="E309" s="16" t="s">
        <v>17</v>
      </c>
      <c r="F309" s="2">
        <v>1153</v>
      </c>
      <c r="G309" s="2">
        <v>6</v>
      </c>
      <c r="H309" s="2">
        <f t="shared" si="16"/>
        <v>21</v>
      </c>
      <c r="I309" s="2">
        <f t="shared" si="17"/>
        <v>24213</v>
      </c>
      <c r="J309" s="16">
        <f t="shared" si="18"/>
        <v>1210.6500000000001</v>
      </c>
      <c r="K309" s="2">
        <f t="shared" si="19"/>
        <v>23002.35</v>
      </c>
    </row>
    <row r="310" spans="1:11" ht="16.5" x14ac:dyDescent="0.3">
      <c r="A310" s="4">
        <v>43009</v>
      </c>
      <c r="B310" s="2" t="s">
        <v>11</v>
      </c>
      <c r="C310" s="2" t="s">
        <v>19</v>
      </c>
      <c r="D310" s="2" t="s">
        <v>35</v>
      </c>
      <c r="E310" s="16" t="s">
        <v>17</v>
      </c>
      <c r="F310" s="2">
        <v>1757</v>
      </c>
      <c r="G310" s="2">
        <v>25</v>
      </c>
      <c r="H310" s="2">
        <f t="shared" si="16"/>
        <v>40</v>
      </c>
      <c r="I310" s="2">
        <f t="shared" si="17"/>
        <v>70280</v>
      </c>
      <c r="J310" s="16">
        <f t="shared" si="18"/>
        <v>3514</v>
      </c>
      <c r="K310" s="2">
        <f t="shared" si="19"/>
        <v>66766</v>
      </c>
    </row>
    <row r="311" spans="1:11" ht="16.5" x14ac:dyDescent="0.3">
      <c r="A311" s="4">
        <v>42948</v>
      </c>
      <c r="B311" s="2" t="s">
        <v>32</v>
      </c>
      <c r="C311" s="2" t="s">
        <v>15</v>
      </c>
      <c r="D311" s="2" t="s">
        <v>20</v>
      </c>
      <c r="E311" s="16" t="s">
        <v>21</v>
      </c>
      <c r="F311" s="2">
        <v>1001</v>
      </c>
      <c r="G311" s="2">
        <v>5</v>
      </c>
      <c r="H311" s="2">
        <f t="shared" si="16"/>
        <v>8</v>
      </c>
      <c r="I311" s="2">
        <f t="shared" si="17"/>
        <v>8008</v>
      </c>
      <c r="J311" s="16">
        <f t="shared" si="18"/>
        <v>400.40000000000003</v>
      </c>
      <c r="K311" s="2">
        <f t="shared" si="19"/>
        <v>7607.6</v>
      </c>
    </row>
    <row r="312" spans="1:11" ht="16.5" x14ac:dyDescent="0.3">
      <c r="A312" s="4">
        <v>43040</v>
      </c>
      <c r="B312" s="2" t="s">
        <v>27</v>
      </c>
      <c r="C312" s="2" t="s">
        <v>23</v>
      </c>
      <c r="D312" s="2" t="s">
        <v>26</v>
      </c>
      <c r="E312" s="16" t="s">
        <v>21</v>
      </c>
      <c r="F312" s="2">
        <v>1333</v>
      </c>
      <c r="G312" s="2">
        <v>2</v>
      </c>
      <c r="H312" s="2">
        <f t="shared" si="16"/>
        <v>5</v>
      </c>
      <c r="I312" s="2">
        <f t="shared" si="17"/>
        <v>6665</v>
      </c>
      <c r="J312" s="16">
        <f t="shared" si="18"/>
        <v>333.25</v>
      </c>
      <c r="K312" s="2">
        <f t="shared" si="19"/>
        <v>6331.75</v>
      </c>
    </row>
    <row r="313" spans="1:11" ht="16.5" x14ac:dyDescent="0.3">
      <c r="A313" s="4">
        <v>43009</v>
      </c>
      <c r="B313" s="2" t="s">
        <v>11</v>
      </c>
      <c r="C313" s="2" t="s">
        <v>34</v>
      </c>
      <c r="D313" s="2" t="s">
        <v>29</v>
      </c>
      <c r="E313" s="16" t="s">
        <v>21</v>
      </c>
      <c r="F313" s="2">
        <v>1153</v>
      </c>
      <c r="G313" s="2">
        <v>40</v>
      </c>
      <c r="H313" s="2">
        <f t="shared" si="16"/>
        <v>43</v>
      </c>
      <c r="I313" s="2">
        <f t="shared" si="17"/>
        <v>49579</v>
      </c>
      <c r="J313" s="16">
        <f t="shared" si="18"/>
        <v>2478.9500000000003</v>
      </c>
      <c r="K313" s="2">
        <f t="shared" si="19"/>
        <v>47100.05</v>
      </c>
    </row>
    <row r="314" spans="1:11" ht="16.5" x14ac:dyDescent="0.3">
      <c r="A314" s="4">
        <v>42767</v>
      </c>
      <c r="B314" s="2" t="s">
        <v>27</v>
      </c>
      <c r="C314" s="2" t="s">
        <v>23</v>
      </c>
      <c r="D314" s="2" t="s">
        <v>20</v>
      </c>
      <c r="E314" s="16" t="s">
        <v>24</v>
      </c>
      <c r="F314" s="2">
        <v>727</v>
      </c>
      <c r="G314" s="2">
        <v>5</v>
      </c>
      <c r="H314" s="2">
        <f t="shared" si="16"/>
        <v>15</v>
      </c>
      <c r="I314" s="2">
        <f t="shared" si="17"/>
        <v>10905</v>
      </c>
      <c r="J314" s="16">
        <f t="shared" si="18"/>
        <v>545.25</v>
      </c>
      <c r="K314" s="2">
        <f t="shared" si="19"/>
        <v>10359.75</v>
      </c>
    </row>
    <row r="315" spans="1:11" ht="16.5" x14ac:dyDescent="0.3">
      <c r="A315" s="4">
        <v>42948</v>
      </c>
      <c r="B315" s="2" t="s">
        <v>32</v>
      </c>
      <c r="C315" s="2" t="s">
        <v>12</v>
      </c>
      <c r="D315" s="2" t="s">
        <v>22</v>
      </c>
      <c r="E315" s="16" t="s">
        <v>14</v>
      </c>
      <c r="F315" s="2">
        <v>1884</v>
      </c>
      <c r="G315" s="2">
        <v>3</v>
      </c>
      <c r="H315" s="2">
        <f t="shared" si="16"/>
        <v>23</v>
      </c>
      <c r="I315" s="2">
        <f t="shared" si="17"/>
        <v>43332</v>
      </c>
      <c r="J315" s="16">
        <f t="shared" si="18"/>
        <v>2166.6</v>
      </c>
      <c r="K315" s="2">
        <f t="shared" si="19"/>
        <v>41165.4</v>
      </c>
    </row>
    <row r="316" spans="1:11" ht="16.5" x14ac:dyDescent="0.3">
      <c r="A316" s="4">
        <v>42979</v>
      </c>
      <c r="B316" s="2" t="s">
        <v>25</v>
      </c>
      <c r="C316" s="2" t="s">
        <v>23</v>
      </c>
      <c r="D316" s="2" t="s">
        <v>29</v>
      </c>
      <c r="E316" s="16" t="s">
        <v>14</v>
      </c>
      <c r="F316" s="2">
        <v>1834</v>
      </c>
      <c r="G316" s="2">
        <v>40</v>
      </c>
      <c r="H316" s="2">
        <f t="shared" si="16"/>
        <v>60</v>
      </c>
      <c r="I316" s="2">
        <f t="shared" si="17"/>
        <v>110040</v>
      </c>
      <c r="J316" s="16">
        <f t="shared" si="18"/>
        <v>5502</v>
      </c>
      <c r="K316" s="2">
        <f t="shared" si="19"/>
        <v>104538</v>
      </c>
    </row>
    <row r="317" spans="1:11" ht="16.5" x14ac:dyDescent="0.3">
      <c r="A317" s="4">
        <v>42736</v>
      </c>
      <c r="B317" s="2" t="s">
        <v>11</v>
      </c>
      <c r="C317" s="2" t="s">
        <v>23</v>
      </c>
      <c r="D317" s="2" t="s">
        <v>20</v>
      </c>
      <c r="E317" s="16" t="s">
        <v>21</v>
      </c>
      <c r="F317" s="2">
        <v>2340</v>
      </c>
      <c r="G317" s="2">
        <v>5</v>
      </c>
      <c r="H317" s="2">
        <f t="shared" si="16"/>
        <v>8</v>
      </c>
      <c r="I317" s="2">
        <f t="shared" si="17"/>
        <v>18720</v>
      </c>
      <c r="J317" s="16">
        <f t="shared" si="18"/>
        <v>936</v>
      </c>
      <c r="K317" s="2">
        <f t="shared" si="19"/>
        <v>17784</v>
      </c>
    </row>
    <row r="318" spans="1:11" ht="16.5" x14ac:dyDescent="0.3">
      <c r="A318" s="4">
        <v>43040</v>
      </c>
      <c r="B318" s="2" t="s">
        <v>27</v>
      </c>
      <c r="C318" s="2" t="s">
        <v>19</v>
      </c>
      <c r="D318" s="2" t="s">
        <v>13</v>
      </c>
      <c r="E318" s="16" t="s">
        <v>21</v>
      </c>
      <c r="F318" s="2">
        <v>2342</v>
      </c>
      <c r="G318" s="2">
        <v>30</v>
      </c>
      <c r="H318" s="2">
        <f t="shared" si="16"/>
        <v>33</v>
      </c>
      <c r="I318" s="2">
        <f t="shared" si="17"/>
        <v>77286</v>
      </c>
      <c r="J318" s="16">
        <f t="shared" si="18"/>
        <v>3864.3</v>
      </c>
      <c r="K318" s="2">
        <f t="shared" si="19"/>
        <v>73421.7</v>
      </c>
    </row>
    <row r="319" spans="1:11" ht="16.5" x14ac:dyDescent="0.3">
      <c r="A319" s="4">
        <v>42979</v>
      </c>
      <c r="B319" s="2" t="s">
        <v>25</v>
      </c>
      <c r="C319" s="2" t="s">
        <v>19</v>
      </c>
      <c r="D319" s="2" t="s">
        <v>26</v>
      </c>
      <c r="E319" s="16" t="s">
        <v>17</v>
      </c>
      <c r="F319" s="2">
        <v>1031</v>
      </c>
      <c r="G319" s="2">
        <v>2</v>
      </c>
      <c r="H319" s="2">
        <f t="shared" si="16"/>
        <v>17</v>
      </c>
      <c r="I319" s="2">
        <f t="shared" si="17"/>
        <v>17527</v>
      </c>
      <c r="J319" s="16">
        <f t="shared" si="18"/>
        <v>876.35</v>
      </c>
      <c r="K319" s="2">
        <f t="shared" si="19"/>
        <v>16650.650000000001</v>
      </c>
    </row>
    <row r="320" spans="1:11" ht="16.5" x14ac:dyDescent="0.3">
      <c r="A320" s="4">
        <v>42856</v>
      </c>
      <c r="B320" s="2" t="s">
        <v>37</v>
      </c>
      <c r="C320" s="2" t="s">
        <v>12</v>
      </c>
      <c r="D320" s="2" t="s">
        <v>29</v>
      </c>
      <c r="E320" s="16" t="s">
        <v>17</v>
      </c>
      <c r="F320" s="2">
        <v>1262</v>
      </c>
      <c r="G320" s="2">
        <v>40</v>
      </c>
      <c r="H320" s="2">
        <f t="shared" si="16"/>
        <v>55</v>
      </c>
      <c r="I320" s="2">
        <f t="shared" si="17"/>
        <v>69410</v>
      </c>
      <c r="J320" s="16">
        <f t="shared" si="18"/>
        <v>3470.5</v>
      </c>
      <c r="K320" s="2">
        <f t="shared" si="19"/>
        <v>65939.5</v>
      </c>
    </row>
    <row r="321" spans="1:11" ht="16.5" x14ac:dyDescent="0.3">
      <c r="A321" s="4">
        <v>42887</v>
      </c>
      <c r="B321" s="2" t="s">
        <v>18</v>
      </c>
      <c r="C321" s="2" t="s">
        <v>12</v>
      </c>
      <c r="D321" s="2" t="s">
        <v>22</v>
      </c>
      <c r="E321" s="16" t="s">
        <v>21</v>
      </c>
      <c r="F321" s="2">
        <v>1135</v>
      </c>
      <c r="G321" s="2">
        <v>3</v>
      </c>
      <c r="H321" s="2">
        <f t="shared" si="16"/>
        <v>6</v>
      </c>
      <c r="I321" s="2">
        <f t="shared" si="17"/>
        <v>6810</v>
      </c>
      <c r="J321" s="16">
        <f t="shared" si="18"/>
        <v>340.5</v>
      </c>
      <c r="K321" s="2">
        <f t="shared" si="19"/>
        <v>6469.5</v>
      </c>
    </row>
    <row r="322" spans="1:11" ht="16.5" x14ac:dyDescent="0.3">
      <c r="A322" s="4">
        <v>43040</v>
      </c>
      <c r="B322" s="2" t="s">
        <v>27</v>
      </c>
      <c r="C322" s="2" t="s">
        <v>34</v>
      </c>
      <c r="D322" s="2" t="s">
        <v>26</v>
      </c>
      <c r="E322" s="16" t="s">
        <v>21</v>
      </c>
      <c r="F322" s="2">
        <v>547</v>
      </c>
      <c r="G322" s="2">
        <v>2</v>
      </c>
      <c r="H322" s="2">
        <f t="shared" si="16"/>
        <v>5</v>
      </c>
      <c r="I322" s="2">
        <f t="shared" si="17"/>
        <v>2735</v>
      </c>
      <c r="J322" s="16">
        <f t="shared" si="18"/>
        <v>136.75</v>
      </c>
      <c r="K322" s="2">
        <f t="shared" si="19"/>
        <v>2598.25</v>
      </c>
    </row>
    <row r="323" spans="1:11" ht="16.5" x14ac:dyDescent="0.3">
      <c r="A323" s="4">
        <v>43070</v>
      </c>
      <c r="B323" s="2" t="s">
        <v>25</v>
      </c>
      <c r="C323" s="2" t="s">
        <v>12</v>
      </c>
      <c r="D323" s="2" t="s">
        <v>13</v>
      </c>
      <c r="E323" s="16" t="s">
        <v>21</v>
      </c>
      <c r="F323" s="2">
        <v>1582</v>
      </c>
      <c r="G323" s="2">
        <v>30</v>
      </c>
      <c r="H323" s="2">
        <f t="shared" ref="H323:H386" si="20">IF(E323="High",G323+20,IF(E323="Medium",G323+15,IF(E323="Low",G323+10,G323+3)))</f>
        <v>33</v>
      </c>
      <c r="I323" s="2">
        <f t="shared" ref="I323:I386" si="21">F323*H323</f>
        <v>52206</v>
      </c>
      <c r="J323" s="16">
        <f t="shared" ref="J323:J386" si="22">IF(AND(D323="Note Book",F323&gt;2500),I323*12%,IF(AND(E323="Long Note Book",N323&lt;1800),I323*8%,I323*5%))</f>
        <v>2610.3000000000002</v>
      </c>
      <c r="K323" s="2">
        <f t="shared" ref="K323:K386" si="23">I323-J323</f>
        <v>49595.7</v>
      </c>
    </row>
    <row r="324" spans="1:11" ht="16.5" x14ac:dyDescent="0.3">
      <c r="A324" s="4">
        <v>42826</v>
      </c>
      <c r="B324" s="2" t="s">
        <v>31</v>
      </c>
      <c r="C324" s="2" t="s">
        <v>19</v>
      </c>
      <c r="D324" s="2" t="s">
        <v>22</v>
      </c>
      <c r="E324" s="16" t="s">
        <v>21</v>
      </c>
      <c r="F324" s="2">
        <v>1738.5</v>
      </c>
      <c r="G324" s="2">
        <v>3</v>
      </c>
      <c r="H324" s="2">
        <f t="shared" si="20"/>
        <v>6</v>
      </c>
      <c r="I324" s="2">
        <f t="shared" si="21"/>
        <v>10431</v>
      </c>
      <c r="J324" s="16">
        <f t="shared" si="22"/>
        <v>521.55000000000007</v>
      </c>
      <c r="K324" s="2">
        <f t="shared" si="23"/>
        <v>9909.4500000000007</v>
      </c>
    </row>
    <row r="325" spans="1:11" ht="16.5" x14ac:dyDescent="0.3">
      <c r="A325" s="4">
        <v>42979</v>
      </c>
      <c r="B325" s="2" t="s">
        <v>25</v>
      </c>
      <c r="C325" s="2" t="s">
        <v>15</v>
      </c>
      <c r="D325" s="2" t="s">
        <v>35</v>
      </c>
      <c r="E325" s="16" t="s">
        <v>24</v>
      </c>
      <c r="F325" s="2">
        <v>2215</v>
      </c>
      <c r="G325" s="2">
        <v>25</v>
      </c>
      <c r="H325" s="2">
        <f t="shared" si="20"/>
        <v>35</v>
      </c>
      <c r="I325" s="2">
        <f t="shared" si="21"/>
        <v>77525</v>
      </c>
      <c r="J325" s="16">
        <f t="shared" si="22"/>
        <v>3876.25</v>
      </c>
      <c r="K325" s="2">
        <f t="shared" si="23"/>
        <v>73648.75</v>
      </c>
    </row>
    <row r="326" spans="1:11" ht="16.5" x14ac:dyDescent="0.3">
      <c r="A326" s="4">
        <v>43070</v>
      </c>
      <c r="B326" s="2" t="s">
        <v>25</v>
      </c>
      <c r="C326" s="2" t="s">
        <v>12</v>
      </c>
      <c r="D326" s="2" t="s">
        <v>33</v>
      </c>
      <c r="E326" s="16" t="s">
        <v>14</v>
      </c>
      <c r="F326" s="2">
        <v>1582</v>
      </c>
      <c r="G326" s="2">
        <v>20</v>
      </c>
      <c r="H326" s="2">
        <f t="shared" si="20"/>
        <v>40</v>
      </c>
      <c r="I326" s="2">
        <f t="shared" si="21"/>
        <v>63280</v>
      </c>
      <c r="J326" s="16">
        <f t="shared" si="22"/>
        <v>3164</v>
      </c>
      <c r="K326" s="2">
        <f t="shared" si="23"/>
        <v>60116</v>
      </c>
    </row>
    <row r="327" spans="1:11" ht="16.5" x14ac:dyDescent="0.3">
      <c r="A327" s="4">
        <v>42887</v>
      </c>
      <c r="B327" s="2" t="s">
        <v>18</v>
      </c>
      <c r="C327" s="2" t="s">
        <v>12</v>
      </c>
      <c r="D327" s="2" t="s">
        <v>29</v>
      </c>
      <c r="E327" s="16" t="s">
        <v>14</v>
      </c>
      <c r="F327" s="2">
        <v>1135</v>
      </c>
      <c r="G327" s="2">
        <v>40</v>
      </c>
      <c r="H327" s="2">
        <f t="shared" si="20"/>
        <v>60</v>
      </c>
      <c r="I327" s="2">
        <f t="shared" si="21"/>
        <v>68100</v>
      </c>
      <c r="J327" s="16">
        <f t="shared" si="22"/>
        <v>3405</v>
      </c>
      <c r="K327" s="2">
        <f t="shared" si="23"/>
        <v>64695</v>
      </c>
    </row>
    <row r="328" spans="1:11" ht="16.5" x14ac:dyDescent="0.3">
      <c r="A328" s="4">
        <v>42795</v>
      </c>
      <c r="B328" s="2" t="s">
        <v>27</v>
      </c>
      <c r="C328" s="2" t="s">
        <v>34</v>
      </c>
      <c r="D328" s="2" t="s">
        <v>30</v>
      </c>
      <c r="E328" s="16" t="s">
        <v>21</v>
      </c>
      <c r="F328" s="2">
        <v>1761</v>
      </c>
      <c r="G328" s="2">
        <v>6</v>
      </c>
      <c r="H328" s="2">
        <f t="shared" si="20"/>
        <v>9</v>
      </c>
      <c r="I328" s="2">
        <f t="shared" si="21"/>
        <v>15849</v>
      </c>
      <c r="J328" s="16">
        <f t="shared" si="22"/>
        <v>792.45</v>
      </c>
      <c r="K328" s="2">
        <f t="shared" si="23"/>
        <v>15056.55</v>
      </c>
    </row>
    <row r="329" spans="1:11" ht="16.5" x14ac:dyDescent="0.3">
      <c r="A329" s="4">
        <v>42887</v>
      </c>
      <c r="B329" s="2" t="s">
        <v>18</v>
      </c>
      <c r="C329" s="2" t="s">
        <v>19</v>
      </c>
      <c r="D329" s="2" t="s">
        <v>13</v>
      </c>
      <c r="E329" s="16" t="s">
        <v>21</v>
      </c>
      <c r="F329" s="2">
        <v>448</v>
      </c>
      <c r="G329" s="2">
        <v>30</v>
      </c>
      <c r="H329" s="2">
        <f t="shared" si="20"/>
        <v>33</v>
      </c>
      <c r="I329" s="2">
        <f t="shared" si="21"/>
        <v>14784</v>
      </c>
      <c r="J329" s="16">
        <f t="shared" si="22"/>
        <v>739.2</v>
      </c>
      <c r="K329" s="2">
        <f t="shared" si="23"/>
        <v>14044.8</v>
      </c>
    </row>
    <row r="330" spans="1:11" ht="16.5" x14ac:dyDescent="0.3">
      <c r="A330" s="4">
        <v>43009</v>
      </c>
      <c r="B330" s="2" t="s">
        <v>11</v>
      </c>
      <c r="C330" s="2" t="s">
        <v>19</v>
      </c>
      <c r="D330" s="2" t="s">
        <v>16</v>
      </c>
      <c r="E330" s="16" t="s">
        <v>17</v>
      </c>
      <c r="F330" s="2">
        <v>2181</v>
      </c>
      <c r="G330" s="2">
        <v>4</v>
      </c>
      <c r="H330" s="2">
        <f t="shared" si="20"/>
        <v>19</v>
      </c>
      <c r="I330" s="2">
        <f t="shared" si="21"/>
        <v>41439</v>
      </c>
      <c r="J330" s="16">
        <f t="shared" si="22"/>
        <v>2071.9500000000003</v>
      </c>
      <c r="K330" s="2">
        <f t="shared" si="23"/>
        <v>39367.050000000003</v>
      </c>
    </row>
    <row r="331" spans="1:11" ht="16.5" x14ac:dyDescent="0.3">
      <c r="A331" s="4">
        <v>43009</v>
      </c>
      <c r="B331" s="2" t="s">
        <v>11</v>
      </c>
      <c r="C331" s="2" t="s">
        <v>19</v>
      </c>
      <c r="D331" s="2" t="s">
        <v>20</v>
      </c>
      <c r="E331" s="16" t="s">
        <v>17</v>
      </c>
      <c r="F331" s="2">
        <v>1976</v>
      </c>
      <c r="G331" s="2">
        <v>5</v>
      </c>
      <c r="H331" s="2">
        <f t="shared" si="20"/>
        <v>20</v>
      </c>
      <c r="I331" s="2">
        <f t="shared" si="21"/>
        <v>39520</v>
      </c>
      <c r="J331" s="16">
        <f t="shared" si="22"/>
        <v>1976</v>
      </c>
      <c r="K331" s="2">
        <f t="shared" si="23"/>
        <v>37544</v>
      </c>
    </row>
    <row r="332" spans="1:11" ht="16.5" x14ac:dyDescent="0.3">
      <c r="A332" s="4">
        <v>43009</v>
      </c>
      <c r="B332" s="2" t="s">
        <v>11</v>
      </c>
      <c r="C332" s="2" t="s">
        <v>19</v>
      </c>
      <c r="D332" s="2" t="s">
        <v>22</v>
      </c>
      <c r="E332" s="16" t="s">
        <v>21</v>
      </c>
      <c r="F332" s="2">
        <v>2181</v>
      </c>
      <c r="G332" s="2">
        <v>3</v>
      </c>
      <c r="H332" s="2">
        <f t="shared" si="20"/>
        <v>6</v>
      </c>
      <c r="I332" s="2">
        <f t="shared" si="21"/>
        <v>13086</v>
      </c>
      <c r="J332" s="16">
        <f t="shared" si="22"/>
        <v>654.30000000000007</v>
      </c>
      <c r="K332" s="2">
        <f t="shared" si="23"/>
        <v>12431.7</v>
      </c>
    </row>
    <row r="333" spans="1:11" ht="16.5" x14ac:dyDescent="0.3">
      <c r="A333" s="4">
        <v>43040</v>
      </c>
      <c r="B333" s="2" t="s">
        <v>27</v>
      </c>
      <c r="C333" s="2" t="s">
        <v>15</v>
      </c>
      <c r="D333" s="2" t="s">
        <v>13</v>
      </c>
      <c r="E333" s="16" t="s">
        <v>21</v>
      </c>
      <c r="F333" s="2">
        <v>2500</v>
      </c>
      <c r="G333" s="2">
        <v>30</v>
      </c>
      <c r="H333" s="2">
        <f t="shared" si="20"/>
        <v>33</v>
      </c>
      <c r="I333" s="2">
        <f t="shared" si="21"/>
        <v>82500</v>
      </c>
      <c r="J333" s="16">
        <f t="shared" si="22"/>
        <v>4125</v>
      </c>
      <c r="K333" s="2">
        <f t="shared" si="23"/>
        <v>78375</v>
      </c>
    </row>
    <row r="334" spans="1:11" ht="16.5" x14ac:dyDescent="0.3">
      <c r="A334" s="4">
        <v>42856</v>
      </c>
      <c r="B334" s="2" t="s">
        <v>37</v>
      </c>
      <c r="C334" s="2" t="s">
        <v>12</v>
      </c>
      <c r="D334" s="2" t="s">
        <v>26</v>
      </c>
      <c r="E334" s="16" t="s">
        <v>21</v>
      </c>
      <c r="F334" s="2">
        <v>1702</v>
      </c>
      <c r="G334" s="2">
        <v>2</v>
      </c>
      <c r="H334" s="2">
        <f t="shared" si="20"/>
        <v>5</v>
      </c>
      <c r="I334" s="2">
        <f t="shared" si="21"/>
        <v>8510</v>
      </c>
      <c r="J334" s="16">
        <f t="shared" si="22"/>
        <v>425.5</v>
      </c>
      <c r="K334" s="2">
        <f t="shared" si="23"/>
        <v>8084.5</v>
      </c>
    </row>
    <row r="335" spans="1:11" ht="16.5" x14ac:dyDescent="0.3">
      <c r="A335" s="4">
        <v>42887</v>
      </c>
      <c r="B335" s="2" t="s">
        <v>18</v>
      </c>
      <c r="C335" s="2" t="s">
        <v>19</v>
      </c>
      <c r="D335" s="2" t="s">
        <v>16</v>
      </c>
      <c r="E335" s="16" t="s">
        <v>24</v>
      </c>
      <c r="F335" s="2">
        <v>448</v>
      </c>
      <c r="G335" s="2">
        <v>4</v>
      </c>
      <c r="H335" s="2">
        <f t="shared" si="20"/>
        <v>14</v>
      </c>
      <c r="I335" s="2">
        <f t="shared" si="21"/>
        <v>6272</v>
      </c>
      <c r="J335" s="16">
        <f t="shared" si="22"/>
        <v>313.60000000000002</v>
      </c>
      <c r="K335" s="2">
        <f t="shared" si="23"/>
        <v>5958.4</v>
      </c>
    </row>
    <row r="336" spans="1:11" ht="16.5" x14ac:dyDescent="0.3">
      <c r="A336" s="4">
        <v>42917</v>
      </c>
      <c r="B336" s="2" t="s">
        <v>31</v>
      </c>
      <c r="C336" s="2" t="s">
        <v>15</v>
      </c>
      <c r="D336" s="2" t="s">
        <v>28</v>
      </c>
      <c r="E336" s="16" t="s">
        <v>14</v>
      </c>
      <c r="F336" s="2">
        <v>3513</v>
      </c>
      <c r="G336" s="2">
        <v>120</v>
      </c>
      <c r="H336" s="2">
        <f t="shared" si="20"/>
        <v>140</v>
      </c>
      <c r="I336" s="2">
        <f t="shared" si="21"/>
        <v>491820</v>
      </c>
      <c r="J336" s="16">
        <f t="shared" si="22"/>
        <v>24591</v>
      </c>
      <c r="K336" s="2">
        <f t="shared" si="23"/>
        <v>467229</v>
      </c>
    </row>
    <row r="337" spans="1:11" ht="16.5" x14ac:dyDescent="0.3">
      <c r="A337" s="4">
        <v>42948</v>
      </c>
      <c r="B337" s="2" t="s">
        <v>32</v>
      </c>
      <c r="C337" s="2" t="s">
        <v>19</v>
      </c>
      <c r="D337" s="2" t="s">
        <v>29</v>
      </c>
      <c r="E337" s="16" t="s">
        <v>14</v>
      </c>
      <c r="F337" s="2">
        <v>2101</v>
      </c>
      <c r="G337" s="2">
        <v>40</v>
      </c>
      <c r="H337" s="2">
        <f t="shared" si="20"/>
        <v>60</v>
      </c>
      <c r="I337" s="2">
        <f t="shared" si="21"/>
        <v>126060</v>
      </c>
      <c r="J337" s="16">
        <f t="shared" si="22"/>
        <v>6303</v>
      </c>
      <c r="K337" s="2">
        <f t="shared" si="23"/>
        <v>119757</v>
      </c>
    </row>
    <row r="338" spans="1:11" ht="16.5" x14ac:dyDescent="0.3">
      <c r="A338" s="4">
        <v>42979</v>
      </c>
      <c r="B338" s="2" t="s">
        <v>25</v>
      </c>
      <c r="C338" s="2" t="s">
        <v>34</v>
      </c>
      <c r="D338" s="2" t="s">
        <v>26</v>
      </c>
      <c r="E338" s="16" t="s">
        <v>21</v>
      </c>
      <c r="F338" s="2">
        <v>2931</v>
      </c>
      <c r="G338" s="2">
        <v>2</v>
      </c>
      <c r="H338" s="2">
        <f t="shared" si="20"/>
        <v>5</v>
      </c>
      <c r="I338" s="2">
        <f t="shared" si="21"/>
        <v>14655</v>
      </c>
      <c r="J338" s="16">
        <f t="shared" si="22"/>
        <v>732.75</v>
      </c>
      <c r="K338" s="2">
        <f t="shared" si="23"/>
        <v>13922.25</v>
      </c>
    </row>
    <row r="339" spans="1:11" ht="16.5" x14ac:dyDescent="0.3">
      <c r="A339" s="4">
        <v>42979</v>
      </c>
      <c r="B339" s="2" t="s">
        <v>25</v>
      </c>
      <c r="C339" s="2" t="s">
        <v>19</v>
      </c>
      <c r="D339" s="2" t="s">
        <v>30</v>
      </c>
      <c r="E339" s="16" t="s">
        <v>21</v>
      </c>
      <c r="F339" s="2">
        <v>1535</v>
      </c>
      <c r="G339" s="2">
        <v>6</v>
      </c>
      <c r="H339" s="2">
        <f t="shared" si="20"/>
        <v>9</v>
      </c>
      <c r="I339" s="2">
        <f t="shared" si="21"/>
        <v>13815</v>
      </c>
      <c r="J339" s="16">
        <f t="shared" si="22"/>
        <v>690.75</v>
      </c>
      <c r="K339" s="2">
        <f t="shared" si="23"/>
        <v>13124.25</v>
      </c>
    </row>
    <row r="340" spans="1:11" ht="16.5" x14ac:dyDescent="0.3">
      <c r="A340" s="4">
        <v>42979</v>
      </c>
      <c r="B340" s="2" t="s">
        <v>25</v>
      </c>
      <c r="C340" s="2" t="s">
        <v>15</v>
      </c>
      <c r="D340" s="2" t="s">
        <v>20</v>
      </c>
      <c r="E340" s="16" t="s">
        <v>17</v>
      </c>
      <c r="F340" s="2">
        <v>1123</v>
      </c>
      <c r="G340" s="2">
        <v>5</v>
      </c>
      <c r="H340" s="2">
        <f t="shared" si="20"/>
        <v>20</v>
      </c>
      <c r="I340" s="2">
        <f t="shared" si="21"/>
        <v>22460</v>
      </c>
      <c r="J340" s="16">
        <f t="shared" si="22"/>
        <v>1123</v>
      </c>
      <c r="K340" s="2">
        <f t="shared" si="23"/>
        <v>21337</v>
      </c>
    </row>
    <row r="341" spans="1:11" ht="16.5" x14ac:dyDescent="0.3">
      <c r="A341" s="4">
        <v>43040</v>
      </c>
      <c r="B341" s="2" t="s">
        <v>27</v>
      </c>
      <c r="C341" s="2" t="s">
        <v>12</v>
      </c>
      <c r="D341" s="2" t="s">
        <v>28</v>
      </c>
      <c r="E341" s="16" t="s">
        <v>17</v>
      </c>
      <c r="F341" s="2">
        <v>1404</v>
      </c>
      <c r="G341" s="2">
        <v>120</v>
      </c>
      <c r="H341" s="2">
        <f t="shared" si="20"/>
        <v>135</v>
      </c>
      <c r="I341" s="2">
        <f t="shared" si="21"/>
        <v>189540</v>
      </c>
      <c r="J341" s="16">
        <f t="shared" si="22"/>
        <v>9477</v>
      </c>
      <c r="K341" s="2">
        <f t="shared" si="23"/>
        <v>180063</v>
      </c>
    </row>
    <row r="342" spans="1:11" ht="16.5" x14ac:dyDescent="0.3">
      <c r="A342" s="4">
        <v>43040</v>
      </c>
      <c r="B342" s="2" t="s">
        <v>27</v>
      </c>
      <c r="C342" s="2" t="s">
        <v>23</v>
      </c>
      <c r="D342" s="2" t="s">
        <v>13</v>
      </c>
      <c r="E342" s="16" t="s">
        <v>21</v>
      </c>
      <c r="F342" s="2">
        <v>2763</v>
      </c>
      <c r="G342" s="2">
        <v>30</v>
      </c>
      <c r="H342" s="2">
        <f t="shared" si="20"/>
        <v>33</v>
      </c>
      <c r="I342" s="2">
        <f t="shared" si="21"/>
        <v>91179</v>
      </c>
      <c r="J342" s="16">
        <f t="shared" si="22"/>
        <v>10941.48</v>
      </c>
      <c r="K342" s="2">
        <f t="shared" si="23"/>
        <v>80237.52</v>
      </c>
    </row>
    <row r="343" spans="1:11" ht="16.5" x14ac:dyDescent="0.3">
      <c r="A343" s="4">
        <v>43070</v>
      </c>
      <c r="B343" s="2" t="s">
        <v>25</v>
      </c>
      <c r="C343" s="2" t="s">
        <v>15</v>
      </c>
      <c r="D343" s="2" t="s">
        <v>33</v>
      </c>
      <c r="E343" s="16" t="s">
        <v>21</v>
      </c>
      <c r="F343" s="2">
        <v>2125</v>
      </c>
      <c r="G343" s="2">
        <v>20</v>
      </c>
      <c r="H343" s="2">
        <f t="shared" si="20"/>
        <v>23</v>
      </c>
      <c r="I343" s="2">
        <f t="shared" si="21"/>
        <v>48875</v>
      </c>
      <c r="J343" s="16">
        <f t="shared" si="22"/>
        <v>2443.75</v>
      </c>
      <c r="K343" s="2">
        <f t="shared" si="23"/>
        <v>46431.25</v>
      </c>
    </row>
    <row r="344" spans="1:11" ht="16.5" x14ac:dyDescent="0.3">
      <c r="A344" s="4">
        <v>42917</v>
      </c>
      <c r="B344" s="2" t="s">
        <v>31</v>
      </c>
      <c r="C344" s="2" t="s">
        <v>19</v>
      </c>
      <c r="D344" s="2" t="s">
        <v>35</v>
      </c>
      <c r="E344" s="16" t="s">
        <v>21</v>
      </c>
      <c r="F344" s="2">
        <v>1659</v>
      </c>
      <c r="G344" s="2">
        <v>25</v>
      </c>
      <c r="H344" s="2">
        <f t="shared" si="20"/>
        <v>28</v>
      </c>
      <c r="I344" s="2">
        <f t="shared" si="21"/>
        <v>46452</v>
      </c>
      <c r="J344" s="16">
        <f t="shared" si="22"/>
        <v>2322.6</v>
      </c>
      <c r="K344" s="2">
        <f t="shared" si="23"/>
        <v>44129.4</v>
      </c>
    </row>
    <row r="345" spans="1:11" ht="16.5" x14ac:dyDescent="0.3">
      <c r="A345" s="4">
        <v>42948</v>
      </c>
      <c r="B345" s="2" t="s">
        <v>32</v>
      </c>
      <c r="C345" s="2" t="s">
        <v>23</v>
      </c>
      <c r="D345" s="2" t="s">
        <v>22</v>
      </c>
      <c r="E345" s="16" t="s">
        <v>21</v>
      </c>
      <c r="F345" s="2">
        <v>609</v>
      </c>
      <c r="G345" s="2">
        <v>3</v>
      </c>
      <c r="H345" s="2">
        <f t="shared" si="20"/>
        <v>6</v>
      </c>
      <c r="I345" s="2">
        <f t="shared" si="21"/>
        <v>3654</v>
      </c>
      <c r="J345" s="16">
        <f t="shared" si="22"/>
        <v>182.70000000000002</v>
      </c>
      <c r="K345" s="2">
        <f t="shared" si="23"/>
        <v>3471.3</v>
      </c>
    </row>
    <row r="346" spans="1:11" ht="16.5" x14ac:dyDescent="0.3">
      <c r="A346" s="4">
        <v>42979</v>
      </c>
      <c r="B346" s="2" t="s">
        <v>25</v>
      </c>
      <c r="C346" s="2" t="s">
        <v>15</v>
      </c>
      <c r="D346" s="2" t="s">
        <v>30</v>
      </c>
      <c r="E346" s="16" t="s">
        <v>24</v>
      </c>
      <c r="F346" s="2">
        <v>2087</v>
      </c>
      <c r="G346" s="2">
        <v>6</v>
      </c>
      <c r="H346" s="2">
        <f t="shared" si="20"/>
        <v>16</v>
      </c>
      <c r="I346" s="2">
        <f t="shared" si="21"/>
        <v>33392</v>
      </c>
      <c r="J346" s="16">
        <f t="shared" si="22"/>
        <v>1669.6000000000001</v>
      </c>
      <c r="K346" s="2">
        <f t="shared" si="23"/>
        <v>31722.400000000001</v>
      </c>
    </row>
    <row r="347" spans="1:11" ht="16.5" x14ac:dyDescent="0.3">
      <c r="A347" s="4">
        <v>43009</v>
      </c>
      <c r="B347" s="2" t="s">
        <v>11</v>
      </c>
      <c r="C347" s="2" t="s">
        <v>19</v>
      </c>
      <c r="D347" s="2" t="s">
        <v>36</v>
      </c>
      <c r="E347" s="16" t="s">
        <v>14</v>
      </c>
      <c r="F347" s="2">
        <v>1976</v>
      </c>
      <c r="G347" s="2">
        <v>10</v>
      </c>
      <c r="H347" s="2">
        <f t="shared" si="20"/>
        <v>30</v>
      </c>
      <c r="I347" s="2">
        <f t="shared" si="21"/>
        <v>59280</v>
      </c>
      <c r="J347" s="16">
        <f t="shared" si="22"/>
        <v>2964</v>
      </c>
      <c r="K347" s="2">
        <f t="shared" si="23"/>
        <v>56316</v>
      </c>
    </row>
    <row r="348" spans="1:11" ht="16.5" x14ac:dyDescent="0.3">
      <c r="A348" s="4">
        <v>43070</v>
      </c>
      <c r="B348" s="2" t="s">
        <v>25</v>
      </c>
      <c r="C348" s="2" t="s">
        <v>34</v>
      </c>
      <c r="D348" s="2" t="s">
        <v>28</v>
      </c>
      <c r="E348" s="16" t="s">
        <v>14</v>
      </c>
      <c r="F348" s="2">
        <v>1421</v>
      </c>
      <c r="G348" s="2">
        <v>120</v>
      </c>
      <c r="H348" s="2">
        <f t="shared" si="20"/>
        <v>140</v>
      </c>
      <c r="I348" s="2">
        <f t="shared" si="21"/>
        <v>198940</v>
      </c>
      <c r="J348" s="16">
        <f t="shared" si="22"/>
        <v>9947</v>
      </c>
      <c r="K348" s="2">
        <f t="shared" si="23"/>
        <v>188993</v>
      </c>
    </row>
    <row r="349" spans="1:11" ht="16.5" x14ac:dyDescent="0.3">
      <c r="A349" s="4">
        <v>43070</v>
      </c>
      <c r="B349" s="2" t="s">
        <v>25</v>
      </c>
      <c r="C349" s="2" t="s">
        <v>34</v>
      </c>
      <c r="D349" s="2" t="s">
        <v>29</v>
      </c>
      <c r="E349" s="16" t="s">
        <v>21</v>
      </c>
      <c r="F349" s="2">
        <v>1372</v>
      </c>
      <c r="G349" s="2">
        <v>40</v>
      </c>
      <c r="H349" s="2">
        <f t="shared" si="20"/>
        <v>43</v>
      </c>
      <c r="I349" s="2">
        <f t="shared" si="21"/>
        <v>58996</v>
      </c>
      <c r="J349" s="16">
        <f t="shared" si="22"/>
        <v>2949.8</v>
      </c>
      <c r="K349" s="2">
        <f t="shared" si="23"/>
        <v>56046.2</v>
      </c>
    </row>
    <row r="350" spans="1:11" ht="16.5" x14ac:dyDescent="0.3">
      <c r="A350" s="4">
        <v>43070</v>
      </c>
      <c r="B350" s="2" t="s">
        <v>25</v>
      </c>
      <c r="C350" s="2" t="s">
        <v>15</v>
      </c>
      <c r="D350" s="2" t="s">
        <v>20</v>
      </c>
      <c r="E350" s="16" t="s">
        <v>21</v>
      </c>
      <c r="F350" s="2">
        <v>588</v>
      </c>
      <c r="G350" s="2">
        <v>5</v>
      </c>
      <c r="H350" s="2">
        <f t="shared" si="20"/>
        <v>8</v>
      </c>
      <c r="I350" s="2">
        <f t="shared" si="21"/>
        <v>4704</v>
      </c>
      <c r="J350" s="16">
        <f t="shared" si="22"/>
        <v>235.20000000000002</v>
      </c>
      <c r="K350" s="2">
        <f t="shared" si="23"/>
        <v>4468.8</v>
      </c>
    </row>
    <row r="351" spans="1:11" ht="16.5" x14ac:dyDescent="0.3">
      <c r="A351" s="4">
        <v>42736</v>
      </c>
      <c r="B351" s="2" t="s">
        <v>11</v>
      </c>
      <c r="C351" s="2" t="s">
        <v>12</v>
      </c>
      <c r="D351" s="2" t="s">
        <v>26</v>
      </c>
      <c r="E351" s="16" t="s">
        <v>17</v>
      </c>
      <c r="F351" s="2">
        <v>3244.5</v>
      </c>
      <c r="G351" s="2">
        <v>2</v>
      </c>
      <c r="H351" s="2">
        <f t="shared" si="20"/>
        <v>17</v>
      </c>
      <c r="I351" s="2">
        <f t="shared" si="21"/>
        <v>55156.5</v>
      </c>
      <c r="J351" s="16">
        <f t="shared" si="22"/>
        <v>2757.8250000000003</v>
      </c>
      <c r="K351" s="2">
        <f t="shared" si="23"/>
        <v>52398.675000000003</v>
      </c>
    </row>
    <row r="352" spans="1:11" ht="16.5" x14ac:dyDescent="0.3">
      <c r="A352" s="4">
        <v>42767</v>
      </c>
      <c r="B352" s="2" t="s">
        <v>27</v>
      </c>
      <c r="C352" s="2" t="s">
        <v>19</v>
      </c>
      <c r="D352" s="2" t="s">
        <v>35</v>
      </c>
      <c r="E352" s="16" t="s">
        <v>17</v>
      </c>
      <c r="F352" s="2">
        <v>959</v>
      </c>
      <c r="G352" s="2">
        <v>25</v>
      </c>
      <c r="H352" s="2">
        <f t="shared" si="20"/>
        <v>40</v>
      </c>
      <c r="I352" s="2">
        <f t="shared" si="21"/>
        <v>38360</v>
      </c>
      <c r="J352" s="16">
        <f t="shared" si="22"/>
        <v>1918</v>
      </c>
      <c r="K352" s="2">
        <f t="shared" si="23"/>
        <v>36442</v>
      </c>
    </row>
    <row r="353" spans="1:11" ht="16.5" x14ac:dyDescent="0.3">
      <c r="A353" s="4">
        <v>42767</v>
      </c>
      <c r="B353" s="2" t="s">
        <v>27</v>
      </c>
      <c r="C353" s="2" t="s">
        <v>23</v>
      </c>
      <c r="D353" s="2" t="s">
        <v>22</v>
      </c>
      <c r="E353" s="16" t="s">
        <v>21</v>
      </c>
      <c r="F353" s="2">
        <v>2747</v>
      </c>
      <c r="G353" s="2">
        <v>3</v>
      </c>
      <c r="H353" s="2">
        <f t="shared" si="20"/>
        <v>6</v>
      </c>
      <c r="I353" s="2">
        <f t="shared" si="21"/>
        <v>16482</v>
      </c>
      <c r="J353" s="16">
        <f t="shared" si="22"/>
        <v>824.1</v>
      </c>
      <c r="K353" s="2">
        <f t="shared" si="23"/>
        <v>15657.9</v>
      </c>
    </row>
    <row r="354" spans="1:11" ht="16.5" x14ac:dyDescent="0.3">
      <c r="A354" s="4">
        <v>42856</v>
      </c>
      <c r="B354" s="2" t="s">
        <v>37</v>
      </c>
      <c r="C354" s="2" t="s">
        <v>12</v>
      </c>
      <c r="D354" s="2" t="s">
        <v>16</v>
      </c>
      <c r="E354" s="16" t="s">
        <v>21</v>
      </c>
      <c r="F354" s="2">
        <v>1645</v>
      </c>
      <c r="G354" s="2">
        <v>4</v>
      </c>
      <c r="H354" s="2">
        <f t="shared" si="20"/>
        <v>7</v>
      </c>
      <c r="I354" s="2">
        <f t="shared" si="21"/>
        <v>11515</v>
      </c>
      <c r="J354" s="16">
        <f t="shared" si="22"/>
        <v>575.75</v>
      </c>
      <c r="K354" s="2">
        <f t="shared" si="23"/>
        <v>10939.25</v>
      </c>
    </row>
    <row r="355" spans="1:11" ht="16.5" x14ac:dyDescent="0.3">
      <c r="A355" s="4">
        <v>42979</v>
      </c>
      <c r="B355" s="2" t="s">
        <v>25</v>
      </c>
      <c r="C355" s="2" t="s">
        <v>19</v>
      </c>
      <c r="D355" s="2" t="s">
        <v>13</v>
      </c>
      <c r="E355" s="16" t="s">
        <v>21</v>
      </c>
      <c r="F355" s="2">
        <v>2876</v>
      </c>
      <c r="G355" s="2">
        <v>30</v>
      </c>
      <c r="H355" s="2">
        <f t="shared" si="20"/>
        <v>33</v>
      </c>
      <c r="I355" s="2">
        <f t="shared" si="21"/>
        <v>94908</v>
      </c>
      <c r="J355" s="16">
        <f t="shared" si="22"/>
        <v>11388.96</v>
      </c>
      <c r="K355" s="2">
        <f t="shared" si="23"/>
        <v>83519.040000000008</v>
      </c>
    </row>
    <row r="356" spans="1:11" ht="16.5" x14ac:dyDescent="0.3">
      <c r="A356" s="4">
        <v>42979</v>
      </c>
      <c r="B356" s="2" t="s">
        <v>25</v>
      </c>
      <c r="C356" s="2" t="s">
        <v>15</v>
      </c>
      <c r="D356" s="2" t="s">
        <v>28</v>
      </c>
      <c r="E356" s="16" t="s">
        <v>24</v>
      </c>
      <c r="F356" s="2">
        <v>994</v>
      </c>
      <c r="G356" s="2">
        <v>120</v>
      </c>
      <c r="H356" s="2">
        <f t="shared" si="20"/>
        <v>130</v>
      </c>
      <c r="I356" s="2">
        <f t="shared" si="21"/>
        <v>129220</v>
      </c>
      <c r="J356" s="16">
        <f t="shared" si="22"/>
        <v>6461</v>
      </c>
      <c r="K356" s="2">
        <f t="shared" si="23"/>
        <v>122759</v>
      </c>
    </row>
    <row r="357" spans="1:11" ht="16.5" x14ac:dyDescent="0.3">
      <c r="A357" s="4">
        <v>43040</v>
      </c>
      <c r="B357" s="2" t="s">
        <v>27</v>
      </c>
      <c r="C357" s="2" t="s">
        <v>12</v>
      </c>
      <c r="D357" s="2" t="s">
        <v>20</v>
      </c>
      <c r="E357" s="16" t="s">
        <v>14</v>
      </c>
      <c r="F357" s="2">
        <v>1118</v>
      </c>
      <c r="G357" s="2">
        <v>5</v>
      </c>
      <c r="H357" s="2">
        <f t="shared" si="20"/>
        <v>25</v>
      </c>
      <c r="I357" s="2">
        <f t="shared" si="21"/>
        <v>27950</v>
      </c>
      <c r="J357" s="16">
        <f t="shared" si="22"/>
        <v>1397.5</v>
      </c>
      <c r="K357" s="2">
        <f t="shared" si="23"/>
        <v>26552.5</v>
      </c>
    </row>
    <row r="358" spans="1:11" ht="16.5" x14ac:dyDescent="0.3">
      <c r="A358" s="4">
        <v>43070</v>
      </c>
      <c r="B358" s="2" t="s">
        <v>25</v>
      </c>
      <c r="C358" s="2" t="s">
        <v>34</v>
      </c>
      <c r="D358" s="2" t="s">
        <v>26</v>
      </c>
      <c r="E358" s="16" t="s">
        <v>14</v>
      </c>
      <c r="F358" s="2">
        <v>1372</v>
      </c>
      <c r="G358" s="2">
        <v>2</v>
      </c>
      <c r="H358" s="2">
        <f t="shared" si="20"/>
        <v>22</v>
      </c>
      <c r="I358" s="2">
        <f t="shared" si="21"/>
        <v>30184</v>
      </c>
      <c r="J358" s="16">
        <f t="shared" si="22"/>
        <v>1509.2</v>
      </c>
      <c r="K358" s="2">
        <f t="shared" si="23"/>
        <v>28674.799999999999</v>
      </c>
    </row>
    <row r="359" spans="1:11" ht="16.5" x14ac:dyDescent="0.3">
      <c r="A359" s="4">
        <v>42767</v>
      </c>
      <c r="B359" s="2" t="s">
        <v>27</v>
      </c>
      <c r="C359" s="2" t="s">
        <v>12</v>
      </c>
      <c r="D359" s="2" t="s">
        <v>29</v>
      </c>
      <c r="E359" s="16" t="s">
        <v>21</v>
      </c>
      <c r="F359" s="2">
        <v>488</v>
      </c>
      <c r="G359" s="2">
        <v>40</v>
      </c>
      <c r="H359" s="2">
        <f t="shared" si="20"/>
        <v>43</v>
      </c>
      <c r="I359" s="2">
        <f t="shared" si="21"/>
        <v>20984</v>
      </c>
      <c r="J359" s="16">
        <f t="shared" si="22"/>
        <v>1049.2</v>
      </c>
      <c r="K359" s="2">
        <f t="shared" si="23"/>
        <v>19934.8</v>
      </c>
    </row>
    <row r="360" spans="1:11" ht="16.5" x14ac:dyDescent="0.3">
      <c r="A360" s="4">
        <v>42887</v>
      </c>
      <c r="B360" s="2" t="s">
        <v>18</v>
      </c>
      <c r="C360" s="2" t="s">
        <v>34</v>
      </c>
      <c r="D360" s="2" t="s">
        <v>20</v>
      </c>
      <c r="E360" s="16" t="s">
        <v>21</v>
      </c>
      <c r="F360" s="2">
        <v>1282</v>
      </c>
      <c r="G360" s="2">
        <v>5</v>
      </c>
      <c r="H360" s="2">
        <f t="shared" si="20"/>
        <v>8</v>
      </c>
      <c r="I360" s="2">
        <f t="shared" si="21"/>
        <v>10256</v>
      </c>
      <c r="J360" s="16">
        <f t="shared" si="22"/>
        <v>512.80000000000007</v>
      </c>
      <c r="K360" s="2">
        <f t="shared" si="23"/>
        <v>9743.2000000000007</v>
      </c>
    </row>
    <row r="361" spans="1:11" ht="16.5" x14ac:dyDescent="0.3">
      <c r="A361" s="4">
        <v>42856</v>
      </c>
      <c r="B361" s="2" t="s">
        <v>37</v>
      </c>
      <c r="C361" s="2" t="s">
        <v>12</v>
      </c>
      <c r="D361" s="2" t="s">
        <v>16</v>
      </c>
      <c r="E361" s="16" t="s">
        <v>17</v>
      </c>
      <c r="F361" s="2">
        <v>257</v>
      </c>
      <c r="G361" s="2">
        <v>4</v>
      </c>
      <c r="H361" s="2">
        <f t="shared" si="20"/>
        <v>19</v>
      </c>
      <c r="I361" s="2">
        <f t="shared" si="21"/>
        <v>4883</v>
      </c>
      <c r="J361" s="16">
        <f t="shared" si="22"/>
        <v>244.15</v>
      </c>
      <c r="K361" s="2">
        <f t="shared" si="23"/>
        <v>4638.8500000000004</v>
      </c>
    </row>
    <row r="362" spans="1:11" ht="16.5" x14ac:dyDescent="0.3">
      <c r="A362" s="4">
        <v>42887</v>
      </c>
      <c r="B362" s="2" t="s">
        <v>18</v>
      </c>
      <c r="C362" s="2" t="s">
        <v>34</v>
      </c>
      <c r="D362" s="2" t="s">
        <v>35</v>
      </c>
      <c r="E362" s="16" t="s">
        <v>17</v>
      </c>
      <c r="F362" s="2">
        <v>1282</v>
      </c>
      <c r="G362" s="2">
        <v>25</v>
      </c>
      <c r="H362" s="2">
        <f t="shared" si="20"/>
        <v>40</v>
      </c>
      <c r="I362" s="2">
        <f t="shared" si="21"/>
        <v>51280</v>
      </c>
      <c r="J362" s="16">
        <f t="shared" si="22"/>
        <v>2564</v>
      </c>
      <c r="K362" s="2">
        <f t="shared" si="23"/>
        <v>48716</v>
      </c>
    </row>
    <row r="363" spans="1:11" ht="16.5" x14ac:dyDescent="0.3">
      <c r="A363" s="4">
        <v>42948</v>
      </c>
      <c r="B363" s="2" t="s">
        <v>32</v>
      </c>
      <c r="C363" s="2" t="s">
        <v>23</v>
      </c>
      <c r="D363" s="2" t="s">
        <v>33</v>
      </c>
      <c r="E363" s="16" t="s">
        <v>21</v>
      </c>
      <c r="F363" s="2">
        <v>1540</v>
      </c>
      <c r="G363" s="2">
        <v>20</v>
      </c>
      <c r="H363" s="2">
        <f t="shared" si="20"/>
        <v>23</v>
      </c>
      <c r="I363" s="2">
        <f t="shared" si="21"/>
        <v>35420</v>
      </c>
      <c r="J363" s="16">
        <f t="shared" si="22"/>
        <v>1771</v>
      </c>
      <c r="K363" s="2">
        <f t="shared" si="23"/>
        <v>33649</v>
      </c>
    </row>
    <row r="364" spans="1:11" ht="16.5" x14ac:dyDescent="0.3">
      <c r="A364" s="4">
        <v>43040</v>
      </c>
      <c r="B364" s="2" t="s">
        <v>27</v>
      </c>
      <c r="C364" s="2" t="s">
        <v>19</v>
      </c>
      <c r="D364" s="2" t="s">
        <v>36</v>
      </c>
      <c r="E364" s="16" t="s">
        <v>21</v>
      </c>
      <c r="F364" s="2">
        <v>490</v>
      </c>
      <c r="G364" s="2">
        <v>10</v>
      </c>
      <c r="H364" s="2">
        <f t="shared" si="20"/>
        <v>13</v>
      </c>
      <c r="I364" s="2">
        <f t="shared" si="21"/>
        <v>6370</v>
      </c>
      <c r="J364" s="16">
        <f t="shared" si="22"/>
        <v>318.5</v>
      </c>
      <c r="K364" s="2">
        <f t="shared" si="23"/>
        <v>6051.5</v>
      </c>
    </row>
    <row r="365" spans="1:11" ht="16.5" x14ac:dyDescent="0.3">
      <c r="A365" s="4">
        <v>43070</v>
      </c>
      <c r="B365" s="2" t="s">
        <v>25</v>
      </c>
      <c r="C365" s="2" t="s">
        <v>23</v>
      </c>
      <c r="D365" s="2" t="s">
        <v>26</v>
      </c>
      <c r="E365" s="16" t="s">
        <v>21</v>
      </c>
      <c r="F365" s="2">
        <v>1362</v>
      </c>
      <c r="G365" s="2">
        <v>2</v>
      </c>
      <c r="H365" s="2">
        <f t="shared" si="20"/>
        <v>5</v>
      </c>
      <c r="I365" s="2">
        <f t="shared" si="21"/>
        <v>6810</v>
      </c>
      <c r="J365" s="16">
        <f t="shared" si="22"/>
        <v>340.5</v>
      </c>
      <c r="K365" s="2">
        <f t="shared" si="23"/>
        <v>6469.5</v>
      </c>
    </row>
    <row r="366" spans="1:11" ht="16.5" x14ac:dyDescent="0.3">
      <c r="A366" s="4">
        <v>42795</v>
      </c>
      <c r="B366" s="2" t="s">
        <v>27</v>
      </c>
      <c r="C366" s="2" t="s">
        <v>19</v>
      </c>
      <c r="D366" s="2" t="s">
        <v>16</v>
      </c>
      <c r="E366" s="16" t="s">
        <v>21</v>
      </c>
      <c r="F366" s="2">
        <v>2501</v>
      </c>
      <c r="G366" s="2">
        <v>4</v>
      </c>
      <c r="H366" s="2">
        <f t="shared" si="20"/>
        <v>7</v>
      </c>
      <c r="I366" s="2">
        <f t="shared" si="21"/>
        <v>17507</v>
      </c>
      <c r="J366" s="16">
        <f t="shared" si="22"/>
        <v>875.35</v>
      </c>
      <c r="K366" s="2">
        <f t="shared" si="23"/>
        <v>16631.650000000001</v>
      </c>
    </row>
    <row r="367" spans="1:11" ht="16.5" x14ac:dyDescent="0.3">
      <c r="A367" s="4">
        <v>42887</v>
      </c>
      <c r="B367" s="2" t="s">
        <v>18</v>
      </c>
      <c r="C367" s="2" t="s">
        <v>12</v>
      </c>
      <c r="D367" s="2" t="s">
        <v>28</v>
      </c>
      <c r="E367" s="16" t="s">
        <v>24</v>
      </c>
      <c r="F367" s="2">
        <v>708</v>
      </c>
      <c r="G367" s="2">
        <v>120</v>
      </c>
      <c r="H367" s="2">
        <f t="shared" si="20"/>
        <v>130</v>
      </c>
      <c r="I367" s="2">
        <f t="shared" si="21"/>
        <v>92040</v>
      </c>
      <c r="J367" s="16">
        <f t="shared" si="22"/>
        <v>4602</v>
      </c>
      <c r="K367" s="2">
        <f t="shared" si="23"/>
        <v>87438</v>
      </c>
    </row>
    <row r="368" spans="1:11" ht="16.5" x14ac:dyDescent="0.3">
      <c r="A368" s="4">
        <v>42917</v>
      </c>
      <c r="B368" s="2" t="s">
        <v>31</v>
      </c>
      <c r="C368" s="2" t="s">
        <v>15</v>
      </c>
      <c r="D368" s="2" t="s">
        <v>36</v>
      </c>
      <c r="E368" s="16" t="s">
        <v>14</v>
      </c>
      <c r="F368" s="2">
        <v>645</v>
      </c>
      <c r="G368" s="2">
        <v>10</v>
      </c>
      <c r="H368" s="2">
        <f t="shared" si="20"/>
        <v>30</v>
      </c>
      <c r="I368" s="2">
        <f t="shared" si="21"/>
        <v>19350</v>
      </c>
      <c r="J368" s="16">
        <f t="shared" si="22"/>
        <v>967.5</v>
      </c>
      <c r="K368" s="2">
        <f t="shared" si="23"/>
        <v>18382.5</v>
      </c>
    </row>
    <row r="369" spans="1:11" ht="16.5" x14ac:dyDescent="0.3">
      <c r="A369" s="4">
        <v>42948</v>
      </c>
      <c r="B369" s="2" t="s">
        <v>32</v>
      </c>
      <c r="C369" s="2" t="s">
        <v>19</v>
      </c>
      <c r="D369" s="2" t="s">
        <v>35</v>
      </c>
      <c r="E369" s="16" t="s">
        <v>14</v>
      </c>
      <c r="F369" s="2">
        <v>1562</v>
      </c>
      <c r="G369" s="2">
        <v>25</v>
      </c>
      <c r="H369" s="2">
        <f t="shared" si="20"/>
        <v>45</v>
      </c>
      <c r="I369" s="2">
        <f t="shared" si="21"/>
        <v>70290</v>
      </c>
      <c r="J369" s="16">
        <f t="shared" si="22"/>
        <v>3514.5</v>
      </c>
      <c r="K369" s="2">
        <f t="shared" si="23"/>
        <v>66775.5</v>
      </c>
    </row>
    <row r="370" spans="1:11" ht="16.5" x14ac:dyDescent="0.3">
      <c r="A370" s="4">
        <v>42979</v>
      </c>
      <c r="B370" s="2" t="s">
        <v>25</v>
      </c>
      <c r="C370" s="2" t="s">
        <v>12</v>
      </c>
      <c r="D370" s="2" t="s">
        <v>29</v>
      </c>
      <c r="E370" s="16" t="s">
        <v>21</v>
      </c>
      <c r="F370" s="2">
        <v>1283</v>
      </c>
      <c r="G370" s="2">
        <v>40</v>
      </c>
      <c r="H370" s="2">
        <f t="shared" si="20"/>
        <v>43</v>
      </c>
      <c r="I370" s="2">
        <f t="shared" si="21"/>
        <v>55169</v>
      </c>
      <c r="J370" s="16">
        <f t="shared" si="22"/>
        <v>2758.4500000000003</v>
      </c>
      <c r="K370" s="2">
        <f t="shared" si="23"/>
        <v>52410.55</v>
      </c>
    </row>
    <row r="371" spans="1:11" ht="16.5" x14ac:dyDescent="0.3">
      <c r="A371" s="4">
        <v>43070</v>
      </c>
      <c r="B371" s="2" t="s">
        <v>25</v>
      </c>
      <c r="C371" s="2" t="s">
        <v>15</v>
      </c>
      <c r="D371" s="2" t="s">
        <v>26</v>
      </c>
      <c r="E371" s="16" t="s">
        <v>21</v>
      </c>
      <c r="F371" s="2">
        <v>711</v>
      </c>
      <c r="G371" s="2">
        <v>2</v>
      </c>
      <c r="H371" s="2">
        <f t="shared" si="20"/>
        <v>5</v>
      </c>
      <c r="I371" s="2">
        <f t="shared" si="21"/>
        <v>3555</v>
      </c>
      <c r="J371" s="16">
        <f t="shared" si="22"/>
        <v>177.75</v>
      </c>
      <c r="K371" s="2">
        <f t="shared" si="23"/>
        <v>3377.25</v>
      </c>
    </row>
    <row r="372" spans="1:11" ht="16.5" x14ac:dyDescent="0.3">
      <c r="A372" s="4">
        <v>42795</v>
      </c>
      <c r="B372" s="2" t="s">
        <v>27</v>
      </c>
      <c r="C372" s="2" t="s">
        <v>23</v>
      </c>
      <c r="D372" s="2" t="s">
        <v>30</v>
      </c>
      <c r="E372" s="16" t="s">
        <v>17</v>
      </c>
      <c r="F372" s="2">
        <v>1114</v>
      </c>
      <c r="G372" s="2">
        <v>6</v>
      </c>
      <c r="H372" s="2">
        <f t="shared" si="20"/>
        <v>21</v>
      </c>
      <c r="I372" s="2">
        <f t="shared" si="21"/>
        <v>23394</v>
      </c>
      <c r="J372" s="16">
        <f t="shared" si="22"/>
        <v>1169.7</v>
      </c>
      <c r="K372" s="2">
        <f t="shared" si="23"/>
        <v>22224.3</v>
      </c>
    </row>
    <row r="373" spans="1:11" ht="16.5" x14ac:dyDescent="0.3">
      <c r="A373" s="4">
        <v>42826</v>
      </c>
      <c r="B373" s="2" t="s">
        <v>31</v>
      </c>
      <c r="C373" s="2" t="s">
        <v>15</v>
      </c>
      <c r="D373" s="2" t="s">
        <v>35</v>
      </c>
      <c r="E373" s="16" t="s">
        <v>17</v>
      </c>
      <c r="F373" s="2">
        <v>1259</v>
      </c>
      <c r="G373" s="2">
        <v>25</v>
      </c>
      <c r="H373" s="2">
        <f t="shared" si="20"/>
        <v>40</v>
      </c>
      <c r="I373" s="2">
        <f t="shared" si="21"/>
        <v>50360</v>
      </c>
      <c r="J373" s="16">
        <f t="shared" si="22"/>
        <v>2518</v>
      </c>
      <c r="K373" s="2">
        <f t="shared" si="23"/>
        <v>47842</v>
      </c>
    </row>
    <row r="374" spans="1:11" ht="16.5" x14ac:dyDescent="0.3">
      <c r="A374" s="4">
        <v>42856</v>
      </c>
      <c r="B374" s="2" t="s">
        <v>37</v>
      </c>
      <c r="C374" s="2" t="s">
        <v>15</v>
      </c>
      <c r="D374" s="2" t="s">
        <v>16</v>
      </c>
      <c r="E374" s="16" t="s">
        <v>21</v>
      </c>
      <c r="F374" s="2">
        <v>1095</v>
      </c>
      <c r="G374" s="2">
        <v>4</v>
      </c>
      <c r="H374" s="2">
        <f t="shared" si="20"/>
        <v>7</v>
      </c>
      <c r="I374" s="2">
        <f t="shared" si="21"/>
        <v>7665</v>
      </c>
      <c r="J374" s="16">
        <f t="shared" si="22"/>
        <v>383.25</v>
      </c>
      <c r="K374" s="2">
        <f t="shared" si="23"/>
        <v>7281.75</v>
      </c>
    </row>
    <row r="375" spans="1:11" ht="16.5" x14ac:dyDescent="0.3">
      <c r="A375" s="4">
        <v>42887</v>
      </c>
      <c r="B375" s="2" t="s">
        <v>18</v>
      </c>
      <c r="C375" s="2" t="s">
        <v>15</v>
      </c>
      <c r="D375" s="2" t="s">
        <v>20</v>
      </c>
      <c r="E375" s="16" t="s">
        <v>21</v>
      </c>
      <c r="F375" s="2">
        <v>1366</v>
      </c>
      <c r="G375" s="2">
        <v>5</v>
      </c>
      <c r="H375" s="2">
        <f t="shared" si="20"/>
        <v>8</v>
      </c>
      <c r="I375" s="2">
        <f t="shared" si="21"/>
        <v>10928</v>
      </c>
      <c r="J375" s="16">
        <f t="shared" si="22"/>
        <v>546.4</v>
      </c>
      <c r="K375" s="2">
        <f t="shared" si="23"/>
        <v>10381.6</v>
      </c>
    </row>
    <row r="376" spans="1:11" ht="16.5" x14ac:dyDescent="0.3">
      <c r="A376" s="4">
        <v>42887</v>
      </c>
      <c r="B376" s="2" t="s">
        <v>18</v>
      </c>
      <c r="C376" s="2" t="s">
        <v>23</v>
      </c>
      <c r="D376" s="2" t="s">
        <v>30</v>
      </c>
      <c r="E376" s="16" t="s">
        <v>21</v>
      </c>
      <c r="F376" s="2">
        <v>2460</v>
      </c>
      <c r="G376" s="2">
        <v>6</v>
      </c>
      <c r="H376" s="2">
        <f t="shared" si="20"/>
        <v>9</v>
      </c>
      <c r="I376" s="2">
        <f t="shared" si="21"/>
        <v>22140</v>
      </c>
      <c r="J376" s="16">
        <f t="shared" si="22"/>
        <v>1107</v>
      </c>
      <c r="K376" s="2">
        <f t="shared" si="23"/>
        <v>21033</v>
      </c>
    </row>
    <row r="377" spans="1:11" ht="16.5" x14ac:dyDescent="0.3">
      <c r="A377" s="4">
        <v>42948</v>
      </c>
      <c r="B377" s="2" t="s">
        <v>32</v>
      </c>
      <c r="C377" s="2" t="s">
        <v>34</v>
      </c>
      <c r="D377" s="2" t="s">
        <v>20</v>
      </c>
      <c r="E377" s="16" t="s">
        <v>24</v>
      </c>
      <c r="F377" s="2">
        <v>678</v>
      </c>
      <c r="G377" s="2">
        <v>5</v>
      </c>
      <c r="H377" s="2">
        <f t="shared" si="20"/>
        <v>15</v>
      </c>
      <c r="I377" s="2">
        <f t="shared" si="21"/>
        <v>10170</v>
      </c>
      <c r="J377" s="16">
        <f t="shared" si="22"/>
        <v>508.5</v>
      </c>
      <c r="K377" s="2">
        <f t="shared" si="23"/>
        <v>9661.5</v>
      </c>
    </row>
    <row r="378" spans="1:11" ht="16.5" x14ac:dyDescent="0.3">
      <c r="A378" s="4">
        <v>42948</v>
      </c>
      <c r="B378" s="2" t="s">
        <v>32</v>
      </c>
      <c r="C378" s="2" t="s">
        <v>15</v>
      </c>
      <c r="D378" s="2" t="s">
        <v>29</v>
      </c>
      <c r="E378" s="16" t="s">
        <v>14</v>
      </c>
      <c r="F378" s="2">
        <v>1598</v>
      </c>
      <c r="G378" s="2">
        <v>40</v>
      </c>
      <c r="H378" s="2">
        <f t="shared" si="20"/>
        <v>60</v>
      </c>
      <c r="I378" s="2">
        <f t="shared" si="21"/>
        <v>95880</v>
      </c>
      <c r="J378" s="16">
        <f t="shared" si="22"/>
        <v>4794</v>
      </c>
      <c r="K378" s="2">
        <f t="shared" si="23"/>
        <v>91086</v>
      </c>
    </row>
    <row r="379" spans="1:11" ht="16.5" x14ac:dyDescent="0.3">
      <c r="A379" s="4">
        <v>42979</v>
      </c>
      <c r="B379" s="2" t="s">
        <v>25</v>
      </c>
      <c r="C379" s="2" t="s">
        <v>15</v>
      </c>
      <c r="D379" s="2" t="s">
        <v>13</v>
      </c>
      <c r="E379" s="16" t="s">
        <v>14</v>
      </c>
      <c r="F379" s="2">
        <v>2409</v>
      </c>
      <c r="G379" s="2">
        <v>30</v>
      </c>
      <c r="H379" s="2">
        <f t="shared" si="20"/>
        <v>50</v>
      </c>
      <c r="I379" s="2">
        <f t="shared" si="21"/>
        <v>120450</v>
      </c>
      <c r="J379" s="16">
        <f t="shared" si="22"/>
        <v>6022.5</v>
      </c>
      <c r="K379" s="2">
        <f t="shared" si="23"/>
        <v>114427.5</v>
      </c>
    </row>
    <row r="380" spans="1:11" ht="16.5" x14ac:dyDescent="0.3">
      <c r="A380" s="4">
        <v>42979</v>
      </c>
      <c r="B380" s="2" t="s">
        <v>25</v>
      </c>
      <c r="C380" s="2" t="s">
        <v>15</v>
      </c>
      <c r="D380" s="2" t="s">
        <v>30</v>
      </c>
      <c r="E380" s="16" t="s">
        <v>21</v>
      </c>
      <c r="F380" s="2">
        <v>1934</v>
      </c>
      <c r="G380" s="2">
        <v>6</v>
      </c>
      <c r="H380" s="2">
        <f t="shared" si="20"/>
        <v>9</v>
      </c>
      <c r="I380" s="2">
        <f t="shared" si="21"/>
        <v>17406</v>
      </c>
      <c r="J380" s="16">
        <f t="shared" si="22"/>
        <v>870.30000000000007</v>
      </c>
      <c r="K380" s="2">
        <f t="shared" si="23"/>
        <v>16535.7</v>
      </c>
    </row>
    <row r="381" spans="1:11" ht="16.5" x14ac:dyDescent="0.3">
      <c r="A381" s="4">
        <v>42979</v>
      </c>
      <c r="B381" s="2" t="s">
        <v>25</v>
      </c>
      <c r="C381" s="2" t="s">
        <v>23</v>
      </c>
      <c r="D381" s="2" t="s">
        <v>28</v>
      </c>
      <c r="E381" s="16" t="s">
        <v>21</v>
      </c>
      <c r="F381" s="2">
        <v>2993</v>
      </c>
      <c r="G381" s="2">
        <v>120</v>
      </c>
      <c r="H381" s="2">
        <f t="shared" si="20"/>
        <v>123</v>
      </c>
      <c r="I381" s="2">
        <f t="shared" si="21"/>
        <v>368139</v>
      </c>
      <c r="J381" s="16">
        <f t="shared" si="22"/>
        <v>18406.95</v>
      </c>
      <c r="K381" s="2">
        <f t="shared" si="23"/>
        <v>349732.05</v>
      </c>
    </row>
    <row r="382" spans="1:11" ht="16.5" x14ac:dyDescent="0.3">
      <c r="A382" s="4">
        <v>43040</v>
      </c>
      <c r="B382" s="2" t="s">
        <v>27</v>
      </c>
      <c r="C382" s="2" t="s">
        <v>15</v>
      </c>
      <c r="D382" s="2" t="s">
        <v>36</v>
      </c>
      <c r="E382" s="16" t="s">
        <v>17</v>
      </c>
      <c r="F382" s="2">
        <v>2146</v>
      </c>
      <c r="G382" s="2">
        <v>10</v>
      </c>
      <c r="H382" s="2">
        <f t="shared" si="20"/>
        <v>25</v>
      </c>
      <c r="I382" s="2">
        <f t="shared" si="21"/>
        <v>53650</v>
      </c>
      <c r="J382" s="16">
        <f t="shared" si="22"/>
        <v>2682.5</v>
      </c>
      <c r="K382" s="2">
        <f t="shared" si="23"/>
        <v>50967.5</v>
      </c>
    </row>
    <row r="383" spans="1:11" ht="16.5" x14ac:dyDescent="0.3">
      <c r="A383" s="4">
        <v>43070</v>
      </c>
      <c r="B383" s="2" t="s">
        <v>25</v>
      </c>
      <c r="C383" s="2" t="s">
        <v>23</v>
      </c>
      <c r="D383" s="2" t="s">
        <v>35</v>
      </c>
      <c r="E383" s="16" t="s">
        <v>17</v>
      </c>
      <c r="F383" s="2">
        <v>1946</v>
      </c>
      <c r="G383" s="2">
        <v>25</v>
      </c>
      <c r="H383" s="2">
        <f t="shared" si="20"/>
        <v>40</v>
      </c>
      <c r="I383" s="2">
        <f t="shared" si="21"/>
        <v>77840</v>
      </c>
      <c r="J383" s="16">
        <f t="shared" si="22"/>
        <v>3892</v>
      </c>
      <c r="K383" s="2">
        <f t="shared" si="23"/>
        <v>73948</v>
      </c>
    </row>
    <row r="384" spans="1:11" ht="16.5" x14ac:dyDescent="0.3">
      <c r="A384" s="4">
        <v>43070</v>
      </c>
      <c r="B384" s="2" t="s">
        <v>25</v>
      </c>
      <c r="C384" s="2" t="s">
        <v>23</v>
      </c>
      <c r="D384" s="2" t="s">
        <v>33</v>
      </c>
      <c r="E384" s="16" t="s">
        <v>21</v>
      </c>
      <c r="F384" s="2">
        <v>1362</v>
      </c>
      <c r="G384" s="2">
        <v>20</v>
      </c>
      <c r="H384" s="2">
        <f t="shared" si="20"/>
        <v>23</v>
      </c>
      <c r="I384" s="2">
        <f t="shared" si="21"/>
        <v>31326</v>
      </c>
      <c r="J384" s="16">
        <f t="shared" si="22"/>
        <v>1566.3000000000002</v>
      </c>
      <c r="K384" s="2">
        <f t="shared" si="23"/>
        <v>29759.7</v>
      </c>
    </row>
    <row r="385" spans="1:11" ht="16.5" x14ac:dyDescent="0.3">
      <c r="A385" s="4">
        <v>42795</v>
      </c>
      <c r="B385" s="2" t="s">
        <v>27</v>
      </c>
      <c r="C385" s="2" t="s">
        <v>12</v>
      </c>
      <c r="D385" s="2" t="s">
        <v>13</v>
      </c>
      <c r="E385" s="16" t="s">
        <v>21</v>
      </c>
      <c r="F385" s="2">
        <v>598</v>
      </c>
      <c r="G385" s="2">
        <v>30</v>
      </c>
      <c r="H385" s="2">
        <f t="shared" si="20"/>
        <v>33</v>
      </c>
      <c r="I385" s="2">
        <f t="shared" si="21"/>
        <v>19734</v>
      </c>
      <c r="J385" s="16">
        <f t="shared" si="22"/>
        <v>986.7</v>
      </c>
      <c r="K385" s="2">
        <f t="shared" si="23"/>
        <v>18747.3</v>
      </c>
    </row>
    <row r="386" spans="1:11" ht="16.5" x14ac:dyDescent="0.3">
      <c r="A386" s="4">
        <v>42887</v>
      </c>
      <c r="B386" s="2" t="s">
        <v>18</v>
      </c>
      <c r="C386" s="2" t="s">
        <v>34</v>
      </c>
      <c r="D386" s="2" t="s">
        <v>29</v>
      </c>
      <c r="E386" s="16" t="s">
        <v>21</v>
      </c>
      <c r="F386" s="2">
        <v>2907</v>
      </c>
      <c r="G386" s="2">
        <v>40</v>
      </c>
      <c r="H386" s="2">
        <f t="shared" si="20"/>
        <v>43</v>
      </c>
      <c r="I386" s="2">
        <f t="shared" si="21"/>
        <v>125001</v>
      </c>
      <c r="J386" s="16">
        <f t="shared" si="22"/>
        <v>6250.05</v>
      </c>
      <c r="K386" s="2">
        <f t="shared" si="23"/>
        <v>118750.95</v>
      </c>
    </row>
    <row r="387" spans="1:11" ht="16.5" x14ac:dyDescent="0.3">
      <c r="A387" s="4">
        <v>42887</v>
      </c>
      <c r="B387" s="2" t="s">
        <v>18</v>
      </c>
      <c r="C387" s="2" t="s">
        <v>15</v>
      </c>
      <c r="D387" s="2" t="s">
        <v>22</v>
      </c>
      <c r="E387" s="16" t="s">
        <v>21</v>
      </c>
      <c r="F387" s="2">
        <v>2338</v>
      </c>
      <c r="G387" s="2">
        <v>3</v>
      </c>
      <c r="H387" s="2">
        <f t="shared" ref="H387:H450" si="24">IF(E387="High",G387+20,IF(E387="Medium",G387+15,IF(E387="Low",G387+10,G387+3)))</f>
        <v>6</v>
      </c>
      <c r="I387" s="2">
        <f t="shared" ref="I387:I450" si="25">F387*H387</f>
        <v>14028</v>
      </c>
      <c r="J387" s="16">
        <f t="shared" ref="J387:J450" si="26">IF(AND(D387="Note Book",F387&gt;2500),I387*12%,IF(AND(E387="Long Note Book",N387&lt;1800),I387*8%,I387*5%))</f>
        <v>701.40000000000009</v>
      </c>
      <c r="K387" s="2">
        <f t="shared" ref="K387:K450" si="27">I387-J387</f>
        <v>13326.6</v>
      </c>
    </row>
    <row r="388" spans="1:11" ht="16.5" x14ac:dyDescent="0.3">
      <c r="A388" s="4">
        <v>43040</v>
      </c>
      <c r="B388" s="2" t="s">
        <v>27</v>
      </c>
      <c r="C388" s="2" t="s">
        <v>19</v>
      </c>
      <c r="D388" s="2" t="s">
        <v>35</v>
      </c>
      <c r="E388" s="16" t="s">
        <v>24</v>
      </c>
      <c r="F388" s="2">
        <v>386</v>
      </c>
      <c r="G388" s="2">
        <v>25</v>
      </c>
      <c r="H388" s="2">
        <f t="shared" si="24"/>
        <v>35</v>
      </c>
      <c r="I388" s="2">
        <f t="shared" si="25"/>
        <v>13510</v>
      </c>
      <c r="J388" s="16">
        <f t="shared" si="26"/>
        <v>675.5</v>
      </c>
      <c r="K388" s="2">
        <f t="shared" si="27"/>
        <v>12834.5</v>
      </c>
    </row>
    <row r="389" spans="1:11" ht="16.5" x14ac:dyDescent="0.3">
      <c r="A389" s="4">
        <v>43070</v>
      </c>
      <c r="B389" s="2" t="s">
        <v>25</v>
      </c>
      <c r="C389" s="2" t="s">
        <v>23</v>
      </c>
      <c r="D389" s="2" t="s">
        <v>16</v>
      </c>
      <c r="E389" s="16" t="s">
        <v>14</v>
      </c>
      <c r="F389" s="2">
        <v>635</v>
      </c>
      <c r="G389" s="2">
        <v>4</v>
      </c>
      <c r="H389" s="2">
        <f t="shared" si="24"/>
        <v>24</v>
      </c>
      <c r="I389" s="2">
        <f t="shared" si="25"/>
        <v>15240</v>
      </c>
      <c r="J389" s="16">
        <f t="shared" si="26"/>
        <v>762</v>
      </c>
      <c r="K389" s="2">
        <f t="shared" si="27"/>
        <v>14478</v>
      </c>
    </row>
    <row r="390" spans="1:11" ht="16.5" x14ac:dyDescent="0.3">
      <c r="A390" s="4">
        <v>42826</v>
      </c>
      <c r="B390" s="2" t="s">
        <v>31</v>
      </c>
      <c r="C390" s="2" t="s">
        <v>19</v>
      </c>
      <c r="D390" s="2" t="s">
        <v>30</v>
      </c>
      <c r="E390" s="16" t="s">
        <v>14</v>
      </c>
      <c r="F390" s="2">
        <v>574.5</v>
      </c>
      <c r="G390" s="2">
        <v>6</v>
      </c>
      <c r="H390" s="2">
        <f t="shared" si="24"/>
        <v>26</v>
      </c>
      <c r="I390" s="2">
        <f t="shared" si="25"/>
        <v>14937</v>
      </c>
      <c r="J390" s="16">
        <f t="shared" si="26"/>
        <v>746.85</v>
      </c>
      <c r="K390" s="2">
        <f t="shared" si="27"/>
        <v>14190.15</v>
      </c>
    </row>
    <row r="391" spans="1:11" ht="16.5" x14ac:dyDescent="0.3">
      <c r="A391" s="4">
        <v>42887</v>
      </c>
      <c r="B391" s="2" t="s">
        <v>18</v>
      </c>
      <c r="C391" s="2" t="s">
        <v>15</v>
      </c>
      <c r="D391" s="2" t="s">
        <v>36</v>
      </c>
      <c r="E391" s="16" t="s">
        <v>21</v>
      </c>
      <c r="F391" s="2">
        <v>2338</v>
      </c>
      <c r="G391" s="2">
        <v>10</v>
      </c>
      <c r="H391" s="2">
        <f t="shared" si="24"/>
        <v>13</v>
      </c>
      <c r="I391" s="2">
        <f t="shared" si="25"/>
        <v>30394</v>
      </c>
      <c r="J391" s="16">
        <f t="shared" si="26"/>
        <v>1519.7</v>
      </c>
      <c r="K391" s="2">
        <f t="shared" si="27"/>
        <v>28874.3</v>
      </c>
    </row>
    <row r="392" spans="1:11" ht="16.5" x14ac:dyDescent="0.3">
      <c r="A392" s="4">
        <v>42948</v>
      </c>
      <c r="B392" s="2" t="s">
        <v>32</v>
      </c>
      <c r="C392" s="2" t="s">
        <v>19</v>
      </c>
      <c r="D392" s="2" t="s">
        <v>16</v>
      </c>
      <c r="E392" s="16" t="s">
        <v>21</v>
      </c>
      <c r="F392" s="2">
        <v>381</v>
      </c>
      <c r="G392" s="2">
        <v>4</v>
      </c>
      <c r="H392" s="2">
        <f t="shared" si="24"/>
        <v>7</v>
      </c>
      <c r="I392" s="2">
        <f t="shared" si="25"/>
        <v>2667</v>
      </c>
      <c r="J392" s="16">
        <f t="shared" si="26"/>
        <v>133.35</v>
      </c>
      <c r="K392" s="2">
        <f t="shared" si="27"/>
        <v>2533.65</v>
      </c>
    </row>
    <row r="393" spans="1:11" ht="16.5" x14ac:dyDescent="0.3">
      <c r="A393" s="4">
        <v>42948</v>
      </c>
      <c r="B393" s="2" t="s">
        <v>32</v>
      </c>
      <c r="C393" s="2" t="s">
        <v>15</v>
      </c>
      <c r="D393" s="2" t="s">
        <v>33</v>
      </c>
      <c r="E393" s="16" t="s">
        <v>17</v>
      </c>
      <c r="F393" s="2">
        <v>422</v>
      </c>
      <c r="G393" s="2">
        <v>20</v>
      </c>
      <c r="H393" s="2">
        <f t="shared" si="24"/>
        <v>35</v>
      </c>
      <c r="I393" s="2">
        <f t="shared" si="25"/>
        <v>14770</v>
      </c>
      <c r="J393" s="16">
        <f t="shared" si="26"/>
        <v>738.5</v>
      </c>
      <c r="K393" s="2">
        <f t="shared" si="27"/>
        <v>14031.5</v>
      </c>
    </row>
    <row r="394" spans="1:11" ht="16.5" x14ac:dyDescent="0.3">
      <c r="A394" s="4">
        <v>42979</v>
      </c>
      <c r="B394" s="2" t="s">
        <v>25</v>
      </c>
      <c r="C394" s="2" t="s">
        <v>12</v>
      </c>
      <c r="D394" s="2" t="s">
        <v>22</v>
      </c>
      <c r="E394" s="16" t="s">
        <v>17</v>
      </c>
      <c r="F394" s="2">
        <v>2134</v>
      </c>
      <c r="G394" s="2">
        <v>3</v>
      </c>
      <c r="H394" s="2">
        <f t="shared" si="24"/>
        <v>18</v>
      </c>
      <c r="I394" s="2">
        <f t="shared" si="25"/>
        <v>38412</v>
      </c>
      <c r="J394" s="16">
        <f t="shared" si="26"/>
        <v>1920.6000000000001</v>
      </c>
      <c r="K394" s="2">
        <f t="shared" si="27"/>
        <v>36491.4</v>
      </c>
    </row>
    <row r="395" spans="1:11" ht="16.5" x14ac:dyDescent="0.3">
      <c r="A395" s="4">
        <v>43070</v>
      </c>
      <c r="B395" s="2" t="s">
        <v>25</v>
      </c>
      <c r="C395" s="2" t="s">
        <v>34</v>
      </c>
      <c r="D395" s="2" t="s">
        <v>20</v>
      </c>
      <c r="E395" s="16" t="s">
        <v>21</v>
      </c>
      <c r="F395" s="2">
        <v>808</v>
      </c>
      <c r="G395" s="2">
        <v>5</v>
      </c>
      <c r="H395" s="2">
        <f t="shared" si="24"/>
        <v>8</v>
      </c>
      <c r="I395" s="2">
        <f t="shared" si="25"/>
        <v>6464</v>
      </c>
      <c r="J395" s="16">
        <f t="shared" si="26"/>
        <v>323.20000000000005</v>
      </c>
      <c r="K395" s="2">
        <f t="shared" si="27"/>
        <v>6140.8</v>
      </c>
    </row>
    <row r="396" spans="1:11" ht="16.5" x14ac:dyDescent="0.3">
      <c r="A396" s="4">
        <v>42887</v>
      </c>
      <c r="B396" s="2" t="s">
        <v>18</v>
      </c>
      <c r="C396" s="2" t="s">
        <v>12</v>
      </c>
      <c r="D396" s="2" t="s">
        <v>16</v>
      </c>
      <c r="E396" s="16" t="s">
        <v>21</v>
      </c>
      <c r="F396" s="2">
        <v>708</v>
      </c>
      <c r="G396" s="2">
        <v>4</v>
      </c>
      <c r="H396" s="2">
        <f t="shared" si="24"/>
        <v>7</v>
      </c>
      <c r="I396" s="2">
        <f t="shared" si="25"/>
        <v>4956</v>
      </c>
      <c r="J396" s="16">
        <f t="shared" si="26"/>
        <v>247.8</v>
      </c>
      <c r="K396" s="2">
        <f t="shared" si="27"/>
        <v>4708.2</v>
      </c>
    </row>
    <row r="397" spans="1:11" ht="16.5" x14ac:dyDescent="0.3">
      <c r="A397" s="4">
        <v>42887</v>
      </c>
      <c r="B397" s="2" t="s">
        <v>18</v>
      </c>
      <c r="C397" s="2" t="s">
        <v>34</v>
      </c>
      <c r="D397" s="2" t="s">
        <v>30</v>
      </c>
      <c r="E397" s="16" t="s">
        <v>21</v>
      </c>
      <c r="F397" s="2">
        <v>2907</v>
      </c>
      <c r="G397" s="2">
        <v>6</v>
      </c>
      <c r="H397" s="2">
        <f t="shared" si="24"/>
        <v>9</v>
      </c>
      <c r="I397" s="2">
        <f t="shared" si="25"/>
        <v>26163</v>
      </c>
      <c r="J397" s="16">
        <f t="shared" si="26"/>
        <v>1308.1500000000001</v>
      </c>
      <c r="K397" s="2">
        <f t="shared" si="27"/>
        <v>24854.85</v>
      </c>
    </row>
    <row r="398" spans="1:11" ht="16.5" x14ac:dyDescent="0.3">
      <c r="A398" s="4">
        <v>42887</v>
      </c>
      <c r="B398" s="2" t="s">
        <v>18</v>
      </c>
      <c r="C398" s="2" t="s">
        <v>15</v>
      </c>
      <c r="D398" s="2" t="s">
        <v>35</v>
      </c>
      <c r="E398" s="16" t="s">
        <v>24</v>
      </c>
      <c r="F398" s="2">
        <v>1366</v>
      </c>
      <c r="G398" s="2">
        <v>25</v>
      </c>
      <c r="H398" s="2">
        <f t="shared" si="24"/>
        <v>35</v>
      </c>
      <c r="I398" s="2">
        <f t="shared" si="25"/>
        <v>47810</v>
      </c>
      <c r="J398" s="16">
        <f t="shared" si="26"/>
        <v>2390.5</v>
      </c>
      <c r="K398" s="2">
        <f t="shared" si="27"/>
        <v>45419.5</v>
      </c>
    </row>
    <row r="399" spans="1:11" ht="16.5" x14ac:dyDescent="0.3">
      <c r="A399" s="4">
        <v>42887</v>
      </c>
      <c r="B399" s="2" t="s">
        <v>18</v>
      </c>
      <c r="C399" s="2" t="s">
        <v>23</v>
      </c>
      <c r="D399" s="2" t="s">
        <v>20</v>
      </c>
      <c r="E399" s="16" t="s">
        <v>14</v>
      </c>
      <c r="F399" s="2">
        <v>2460</v>
      </c>
      <c r="G399" s="2">
        <v>5</v>
      </c>
      <c r="H399" s="2">
        <f t="shared" si="24"/>
        <v>25</v>
      </c>
      <c r="I399" s="2">
        <f t="shared" si="25"/>
        <v>61500</v>
      </c>
      <c r="J399" s="16">
        <f t="shared" si="26"/>
        <v>3075</v>
      </c>
      <c r="K399" s="2">
        <f t="shared" si="27"/>
        <v>58425</v>
      </c>
    </row>
    <row r="400" spans="1:11" ht="16.5" x14ac:dyDescent="0.3">
      <c r="A400" s="4">
        <v>43040</v>
      </c>
      <c r="B400" s="2" t="s">
        <v>27</v>
      </c>
      <c r="C400" s="2" t="s">
        <v>15</v>
      </c>
      <c r="D400" s="2" t="s">
        <v>22</v>
      </c>
      <c r="E400" s="16" t="s">
        <v>14</v>
      </c>
      <c r="F400" s="2">
        <v>1520</v>
      </c>
      <c r="G400" s="2">
        <v>3</v>
      </c>
      <c r="H400" s="2">
        <f t="shared" si="24"/>
        <v>23</v>
      </c>
      <c r="I400" s="2">
        <f t="shared" si="25"/>
        <v>34960</v>
      </c>
      <c r="J400" s="16">
        <f t="shared" si="26"/>
        <v>1748</v>
      </c>
      <c r="K400" s="2">
        <f t="shared" si="27"/>
        <v>33212</v>
      </c>
    </row>
    <row r="401" spans="1:11" ht="16.5" x14ac:dyDescent="0.3">
      <c r="A401" s="4">
        <v>43070</v>
      </c>
      <c r="B401" s="2" t="s">
        <v>25</v>
      </c>
      <c r="C401" s="2" t="s">
        <v>15</v>
      </c>
      <c r="D401" s="2" t="s">
        <v>26</v>
      </c>
      <c r="E401" s="16" t="s">
        <v>21</v>
      </c>
      <c r="F401" s="2">
        <v>711</v>
      </c>
      <c r="G401" s="2">
        <v>2</v>
      </c>
      <c r="H401" s="2">
        <f t="shared" si="24"/>
        <v>5</v>
      </c>
      <c r="I401" s="2">
        <f t="shared" si="25"/>
        <v>3555</v>
      </c>
      <c r="J401" s="16">
        <f t="shared" si="26"/>
        <v>177.75</v>
      </c>
      <c r="K401" s="2">
        <f t="shared" si="27"/>
        <v>3377.25</v>
      </c>
    </row>
    <row r="402" spans="1:11" ht="16.5" x14ac:dyDescent="0.3">
      <c r="A402" s="4">
        <v>43070</v>
      </c>
      <c r="B402" s="2" t="s">
        <v>25</v>
      </c>
      <c r="C402" s="2" t="s">
        <v>23</v>
      </c>
      <c r="D402" s="2" t="s">
        <v>28</v>
      </c>
      <c r="E402" s="16" t="s">
        <v>21</v>
      </c>
      <c r="F402" s="2">
        <v>1375</v>
      </c>
      <c r="G402" s="2">
        <v>120</v>
      </c>
      <c r="H402" s="2">
        <f t="shared" si="24"/>
        <v>123</v>
      </c>
      <c r="I402" s="2">
        <f t="shared" si="25"/>
        <v>169125</v>
      </c>
      <c r="J402" s="16">
        <f t="shared" si="26"/>
        <v>8456.25</v>
      </c>
      <c r="K402" s="2">
        <f t="shared" si="27"/>
        <v>160668.75</v>
      </c>
    </row>
    <row r="403" spans="1:11" ht="16.5" x14ac:dyDescent="0.3">
      <c r="A403" s="4">
        <v>43070</v>
      </c>
      <c r="B403" s="2" t="s">
        <v>25</v>
      </c>
      <c r="C403" s="2" t="s">
        <v>23</v>
      </c>
      <c r="D403" s="2" t="s">
        <v>26</v>
      </c>
      <c r="E403" s="16" t="s">
        <v>17</v>
      </c>
      <c r="F403" s="2">
        <v>635</v>
      </c>
      <c r="G403" s="2">
        <v>2</v>
      </c>
      <c r="H403" s="2">
        <f t="shared" si="24"/>
        <v>17</v>
      </c>
      <c r="I403" s="2">
        <f t="shared" si="25"/>
        <v>10795</v>
      </c>
      <c r="J403" s="16">
        <f t="shared" si="26"/>
        <v>539.75</v>
      </c>
      <c r="K403" s="2">
        <f t="shared" si="27"/>
        <v>10255.25</v>
      </c>
    </row>
    <row r="404" spans="1:11" ht="16.5" x14ac:dyDescent="0.3">
      <c r="A404" s="4">
        <v>42917</v>
      </c>
      <c r="B404" s="2" t="s">
        <v>31</v>
      </c>
      <c r="C404" s="2" t="s">
        <v>34</v>
      </c>
      <c r="D404" s="2" t="s">
        <v>22</v>
      </c>
      <c r="E404" s="16" t="s">
        <v>17</v>
      </c>
      <c r="F404" s="2">
        <v>436.5</v>
      </c>
      <c r="G404" s="2">
        <v>3</v>
      </c>
      <c r="H404" s="2">
        <f t="shared" si="24"/>
        <v>18</v>
      </c>
      <c r="I404" s="2">
        <f t="shared" si="25"/>
        <v>7857</v>
      </c>
      <c r="J404" s="16">
        <f t="shared" si="26"/>
        <v>392.85</v>
      </c>
      <c r="K404" s="2">
        <f t="shared" si="27"/>
        <v>7464.15</v>
      </c>
    </row>
    <row r="405" spans="1:11" ht="16.5" x14ac:dyDescent="0.3">
      <c r="A405" s="4">
        <v>42887</v>
      </c>
      <c r="B405" s="2" t="s">
        <v>18</v>
      </c>
      <c r="C405" s="2" t="s">
        <v>12</v>
      </c>
      <c r="D405" s="2" t="s">
        <v>36</v>
      </c>
      <c r="E405" s="16" t="s">
        <v>21</v>
      </c>
      <c r="F405" s="2">
        <v>1094</v>
      </c>
      <c r="G405" s="2">
        <v>10</v>
      </c>
      <c r="H405" s="2">
        <f t="shared" si="24"/>
        <v>13</v>
      </c>
      <c r="I405" s="2">
        <f t="shared" si="25"/>
        <v>14222</v>
      </c>
      <c r="J405" s="16">
        <f t="shared" si="26"/>
        <v>711.1</v>
      </c>
      <c r="K405" s="2">
        <f t="shared" si="27"/>
        <v>13510.9</v>
      </c>
    </row>
    <row r="406" spans="1:11" ht="16.5" x14ac:dyDescent="0.3">
      <c r="A406" s="4">
        <v>43009</v>
      </c>
      <c r="B406" s="2" t="s">
        <v>11</v>
      </c>
      <c r="C406" s="2" t="s">
        <v>23</v>
      </c>
      <c r="D406" s="2" t="s">
        <v>35</v>
      </c>
      <c r="E406" s="16" t="s">
        <v>21</v>
      </c>
      <c r="F406" s="2">
        <v>367</v>
      </c>
      <c r="G406" s="2">
        <v>25</v>
      </c>
      <c r="H406" s="2">
        <f t="shared" si="24"/>
        <v>28</v>
      </c>
      <c r="I406" s="2">
        <f t="shared" si="25"/>
        <v>10276</v>
      </c>
      <c r="J406" s="16">
        <f t="shared" si="26"/>
        <v>513.80000000000007</v>
      </c>
      <c r="K406" s="2">
        <f t="shared" si="27"/>
        <v>9762.2000000000007</v>
      </c>
    </row>
    <row r="407" spans="1:11" ht="16.5" x14ac:dyDescent="0.3">
      <c r="A407" s="4">
        <v>42826</v>
      </c>
      <c r="B407" s="2" t="s">
        <v>31</v>
      </c>
      <c r="C407" s="2" t="s">
        <v>12</v>
      </c>
      <c r="D407" s="2" t="s">
        <v>26</v>
      </c>
      <c r="E407" s="16" t="s">
        <v>21</v>
      </c>
      <c r="F407" s="2">
        <v>3802.5</v>
      </c>
      <c r="G407" s="2">
        <v>2</v>
      </c>
      <c r="H407" s="2">
        <f t="shared" si="24"/>
        <v>5</v>
      </c>
      <c r="I407" s="2">
        <f t="shared" si="25"/>
        <v>19012.5</v>
      </c>
      <c r="J407" s="16">
        <f t="shared" si="26"/>
        <v>950.625</v>
      </c>
      <c r="K407" s="2">
        <f t="shared" si="27"/>
        <v>18061.875</v>
      </c>
    </row>
    <row r="408" spans="1:11" ht="16.5" x14ac:dyDescent="0.3">
      <c r="A408" s="4">
        <v>42856</v>
      </c>
      <c r="B408" s="2" t="s">
        <v>37</v>
      </c>
      <c r="C408" s="2" t="s">
        <v>19</v>
      </c>
      <c r="D408" s="2" t="s">
        <v>30</v>
      </c>
      <c r="E408" s="16" t="s">
        <v>21</v>
      </c>
      <c r="F408" s="2">
        <v>1666</v>
      </c>
      <c r="G408" s="2">
        <v>6</v>
      </c>
      <c r="H408" s="2">
        <f t="shared" si="24"/>
        <v>9</v>
      </c>
      <c r="I408" s="2">
        <f t="shared" si="25"/>
        <v>14994</v>
      </c>
      <c r="J408" s="16">
        <f t="shared" si="26"/>
        <v>749.7</v>
      </c>
      <c r="K408" s="2">
        <f t="shared" si="27"/>
        <v>14244.3</v>
      </c>
    </row>
    <row r="409" spans="1:11" ht="16.5" x14ac:dyDescent="0.3">
      <c r="A409" s="4">
        <v>42979</v>
      </c>
      <c r="B409" s="2" t="s">
        <v>25</v>
      </c>
      <c r="C409" s="2" t="s">
        <v>19</v>
      </c>
      <c r="D409" s="2" t="s">
        <v>29</v>
      </c>
      <c r="E409" s="16" t="s">
        <v>24</v>
      </c>
      <c r="F409" s="2">
        <v>322</v>
      </c>
      <c r="G409" s="2">
        <v>40</v>
      </c>
      <c r="H409" s="2">
        <f t="shared" si="24"/>
        <v>50</v>
      </c>
      <c r="I409" s="2">
        <f t="shared" si="25"/>
        <v>16100</v>
      </c>
      <c r="J409" s="16">
        <f t="shared" si="26"/>
        <v>805</v>
      </c>
      <c r="K409" s="2">
        <f t="shared" si="27"/>
        <v>15295</v>
      </c>
    </row>
    <row r="410" spans="1:11" ht="16.5" x14ac:dyDescent="0.3">
      <c r="A410" s="4">
        <v>43040</v>
      </c>
      <c r="B410" s="2" t="s">
        <v>27</v>
      </c>
      <c r="C410" s="2" t="s">
        <v>12</v>
      </c>
      <c r="D410" s="2" t="s">
        <v>30</v>
      </c>
      <c r="E410" s="16" t="s">
        <v>14</v>
      </c>
      <c r="F410" s="2">
        <v>2321</v>
      </c>
      <c r="G410" s="2">
        <v>6</v>
      </c>
      <c r="H410" s="2">
        <f t="shared" si="24"/>
        <v>26</v>
      </c>
      <c r="I410" s="2">
        <f t="shared" si="25"/>
        <v>60346</v>
      </c>
      <c r="J410" s="16">
        <f t="shared" si="26"/>
        <v>3017.3</v>
      </c>
      <c r="K410" s="2">
        <f t="shared" si="27"/>
        <v>57328.7</v>
      </c>
    </row>
    <row r="411" spans="1:11" ht="16.5" x14ac:dyDescent="0.3">
      <c r="A411" s="4">
        <v>43040</v>
      </c>
      <c r="B411" s="2" t="s">
        <v>27</v>
      </c>
      <c r="C411" s="2" t="s">
        <v>19</v>
      </c>
      <c r="D411" s="2" t="s">
        <v>35</v>
      </c>
      <c r="E411" s="16" t="s">
        <v>14</v>
      </c>
      <c r="F411" s="2">
        <v>1857</v>
      </c>
      <c r="G411" s="2">
        <v>25</v>
      </c>
      <c r="H411" s="2">
        <f t="shared" si="24"/>
        <v>45</v>
      </c>
      <c r="I411" s="2">
        <f t="shared" si="25"/>
        <v>83565</v>
      </c>
      <c r="J411" s="16">
        <f t="shared" si="26"/>
        <v>4178.25</v>
      </c>
      <c r="K411" s="2">
        <f t="shared" si="27"/>
        <v>79386.75</v>
      </c>
    </row>
    <row r="412" spans="1:11" ht="16.5" x14ac:dyDescent="0.3">
      <c r="A412" s="4">
        <v>43070</v>
      </c>
      <c r="B412" s="2" t="s">
        <v>25</v>
      </c>
      <c r="C412" s="2" t="s">
        <v>12</v>
      </c>
      <c r="D412" s="2" t="s">
        <v>33</v>
      </c>
      <c r="E412" s="16" t="s">
        <v>21</v>
      </c>
      <c r="F412" s="2">
        <v>1611</v>
      </c>
      <c r="G412" s="2">
        <v>20</v>
      </c>
      <c r="H412" s="2">
        <f t="shared" si="24"/>
        <v>23</v>
      </c>
      <c r="I412" s="2">
        <f t="shared" si="25"/>
        <v>37053</v>
      </c>
      <c r="J412" s="16">
        <f t="shared" si="26"/>
        <v>1852.65</v>
      </c>
      <c r="K412" s="2">
        <f t="shared" si="27"/>
        <v>35200.35</v>
      </c>
    </row>
    <row r="413" spans="1:11" ht="16.5" x14ac:dyDescent="0.3">
      <c r="A413" s="4">
        <v>43070</v>
      </c>
      <c r="B413" s="2" t="s">
        <v>25</v>
      </c>
      <c r="C413" s="2" t="s">
        <v>34</v>
      </c>
      <c r="D413" s="2" t="s">
        <v>28</v>
      </c>
      <c r="E413" s="16" t="s">
        <v>21</v>
      </c>
      <c r="F413" s="2">
        <v>2797</v>
      </c>
      <c r="G413" s="2">
        <v>120</v>
      </c>
      <c r="H413" s="2">
        <f t="shared" si="24"/>
        <v>123</v>
      </c>
      <c r="I413" s="2">
        <f t="shared" si="25"/>
        <v>344031</v>
      </c>
      <c r="J413" s="16">
        <f t="shared" si="26"/>
        <v>17201.55</v>
      </c>
      <c r="K413" s="2">
        <f t="shared" si="27"/>
        <v>326829.45</v>
      </c>
    </row>
    <row r="414" spans="1:11" ht="16.5" x14ac:dyDescent="0.3">
      <c r="A414" s="4">
        <v>43070</v>
      </c>
      <c r="B414" s="2" t="s">
        <v>25</v>
      </c>
      <c r="C414" s="2" t="s">
        <v>15</v>
      </c>
      <c r="D414" s="2" t="s">
        <v>16</v>
      </c>
      <c r="E414" s="16" t="s">
        <v>17</v>
      </c>
      <c r="F414" s="2">
        <v>334</v>
      </c>
      <c r="G414" s="2">
        <v>4</v>
      </c>
      <c r="H414" s="2">
        <f t="shared" si="24"/>
        <v>19</v>
      </c>
      <c r="I414" s="2">
        <f t="shared" si="25"/>
        <v>6346</v>
      </c>
      <c r="J414" s="16">
        <f t="shared" si="26"/>
        <v>317.3</v>
      </c>
      <c r="K414" s="2">
        <f t="shared" si="27"/>
        <v>6028.7</v>
      </c>
    </row>
    <row r="415" spans="1:11" ht="16.5" x14ac:dyDescent="0.3">
      <c r="A415" s="4">
        <v>42736</v>
      </c>
      <c r="B415" s="2" t="s">
        <v>11</v>
      </c>
      <c r="C415" s="2" t="s">
        <v>23</v>
      </c>
      <c r="D415" s="2" t="s">
        <v>13</v>
      </c>
      <c r="E415" s="16" t="s">
        <v>17</v>
      </c>
      <c r="F415" s="2">
        <v>2565</v>
      </c>
      <c r="G415" s="2">
        <v>30</v>
      </c>
      <c r="H415" s="2">
        <f t="shared" si="24"/>
        <v>45</v>
      </c>
      <c r="I415" s="2">
        <f t="shared" si="25"/>
        <v>115425</v>
      </c>
      <c r="J415" s="16">
        <f t="shared" si="26"/>
        <v>13851</v>
      </c>
      <c r="K415" s="2">
        <f t="shared" si="27"/>
        <v>101574</v>
      </c>
    </row>
    <row r="416" spans="1:11" ht="16.5" x14ac:dyDescent="0.3">
      <c r="A416" s="4">
        <v>42736</v>
      </c>
      <c r="B416" s="2" t="s">
        <v>11</v>
      </c>
      <c r="C416" s="2" t="s">
        <v>23</v>
      </c>
      <c r="D416" s="2" t="s">
        <v>29</v>
      </c>
      <c r="E416" s="16" t="s">
        <v>21</v>
      </c>
      <c r="F416" s="2">
        <v>2417</v>
      </c>
      <c r="G416" s="2">
        <v>40</v>
      </c>
      <c r="H416" s="2">
        <f t="shared" si="24"/>
        <v>43</v>
      </c>
      <c r="I416" s="2">
        <f t="shared" si="25"/>
        <v>103931</v>
      </c>
      <c r="J416" s="16">
        <f t="shared" si="26"/>
        <v>5196.55</v>
      </c>
      <c r="K416" s="2">
        <f t="shared" si="27"/>
        <v>98734.45</v>
      </c>
    </row>
    <row r="417" spans="1:11" ht="16.5" x14ac:dyDescent="0.3">
      <c r="A417" s="4">
        <v>42826</v>
      </c>
      <c r="B417" s="2" t="s">
        <v>31</v>
      </c>
      <c r="C417" s="2" t="s">
        <v>34</v>
      </c>
      <c r="D417" s="2" t="s">
        <v>22</v>
      </c>
      <c r="E417" s="16" t="s">
        <v>21</v>
      </c>
      <c r="F417" s="2">
        <v>3675</v>
      </c>
      <c r="G417" s="2">
        <v>3</v>
      </c>
      <c r="H417" s="2">
        <f t="shared" si="24"/>
        <v>6</v>
      </c>
      <c r="I417" s="2">
        <f t="shared" si="25"/>
        <v>22050</v>
      </c>
      <c r="J417" s="16">
        <f t="shared" si="26"/>
        <v>1102.5</v>
      </c>
      <c r="K417" s="2">
        <f t="shared" si="27"/>
        <v>20947.5</v>
      </c>
    </row>
    <row r="418" spans="1:11" ht="16.5" x14ac:dyDescent="0.3">
      <c r="A418" s="4">
        <v>42887</v>
      </c>
      <c r="B418" s="2" t="s">
        <v>18</v>
      </c>
      <c r="C418" s="2" t="s">
        <v>12</v>
      </c>
      <c r="D418" s="2" t="s">
        <v>26</v>
      </c>
      <c r="E418" s="16" t="s">
        <v>21</v>
      </c>
      <c r="F418" s="2">
        <v>1094</v>
      </c>
      <c r="G418" s="2">
        <v>2</v>
      </c>
      <c r="H418" s="2">
        <f t="shared" si="24"/>
        <v>5</v>
      </c>
      <c r="I418" s="2">
        <f t="shared" si="25"/>
        <v>5470</v>
      </c>
      <c r="J418" s="16">
        <f t="shared" si="26"/>
        <v>273.5</v>
      </c>
      <c r="K418" s="2">
        <f t="shared" si="27"/>
        <v>5196.5</v>
      </c>
    </row>
    <row r="419" spans="1:11" ht="16.5" x14ac:dyDescent="0.3">
      <c r="A419" s="4">
        <v>43009</v>
      </c>
      <c r="B419" s="2" t="s">
        <v>11</v>
      </c>
      <c r="C419" s="2" t="s">
        <v>19</v>
      </c>
      <c r="D419" s="2" t="s">
        <v>16</v>
      </c>
      <c r="E419" s="16" t="s">
        <v>24</v>
      </c>
      <c r="F419" s="2">
        <v>1227</v>
      </c>
      <c r="G419" s="2">
        <v>4</v>
      </c>
      <c r="H419" s="2">
        <f t="shared" si="24"/>
        <v>14</v>
      </c>
      <c r="I419" s="2">
        <f t="shared" si="25"/>
        <v>17178</v>
      </c>
      <c r="J419" s="16">
        <f t="shared" si="26"/>
        <v>858.90000000000009</v>
      </c>
      <c r="K419" s="2">
        <f t="shared" si="27"/>
        <v>16319.1</v>
      </c>
    </row>
    <row r="420" spans="1:11" ht="16.5" x14ac:dyDescent="0.3">
      <c r="A420" s="4">
        <v>43009</v>
      </c>
      <c r="B420" s="2" t="s">
        <v>11</v>
      </c>
      <c r="C420" s="2" t="s">
        <v>23</v>
      </c>
      <c r="D420" s="2" t="s">
        <v>26</v>
      </c>
      <c r="E420" s="16" t="s">
        <v>14</v>
      </c>
      <c r="F420" s="2">
        <v>367</v>
      </c>
      <c r="G420" s="2">
        <v>2</v>
      </c>
      <c r="H420" s="2">
        <f t="shared" si="24"/>
        <v>22</v>
      </c>
      <c r="I420" s="2">
        <f t="shared" si="25"/>
        <v>8074</v>
      </c>
      <c r="J420" s="16">
        <f t="shared" si="26"/>
        <v>403.70000000000005</v>
      </c>
      <c r="K420" s="2">
        <f t="shared" si="27"/>
        <v>7670.3</v>
      </c>
    </row>
    <row r="421" spans="1:11" ht="16.5" x14ac:dyDescent="0.3">
      <c r="A421" s="4">
        <v>43040</v>
      </c>
      <c r="B421" s="2" t="s">
        <v>27</v>
      </c>
      <c r="C421" s="2" t="s">
        <v>19</v>
      </c>
      <c r="D421" s="2" t="s">
        <v>20</v>
      </c>
      <c r="E421" s="16" t="s">
        <v>14</v>
      </c>
      <c r="F421" s="2">
        <v>1324</v>
      </c>
      <c r="G421" s="2">
        <v>5</v>
      </c>
      <c r="H421" s="2">
        <f t="shared" si="24"/>
        <v>25</v>
      </c>
      <c r="I421" s="2">
        <f t="shared" si="25"/>
        <v>33100</v>
      </c>
      <c r="J421" s="16">
        <f t="shared" si="26"/>
        <v>1655</v>
      </c>
      <c r="K421" s="2">
        <f t="shared" si="27"/>
        <v>31445</v>
      </c>
    </row>
    <row r="422" spans="1:11" ht="16.5" x14ac:dyDescent="0.3">
      <c r="A422" s="4">
        <v>43040</v>
      </c>
      <c r="B422" s="2" t="s">
        <v>27</v>
      </c>
      <c r="C422" s="2" t="s">
        <v>15</v>
      </c>
      <c r="D422" s="2" t="s">
        <v>29</v>
      </c>
      <c r="E422" s="16" t="s">
        <v>21</v>
      </c>
      <c r="F422" s="2">
        <v>1775</v>
      </c>
      <c r="G422" s="2">
        <v>40</v>
      </c>
      <c r="H422" s="2">
        <f t="shared" si="24"/>
        <v>43</v>
      </c>
      <c r="I422" s="2">
        <f t="shared" si="25"/>
        <v>76325</v>
      </c>
      <c r="J422" s="16">
        <f t="shared" si="26"/>
        <v>3816.25</v>
      </c>
      <c r="K422" s="2">
        <f t="shared" si="27"/>
        <v>72508.75</v>
      </c>
    </row>
    <row r="423" spans="1:11" ht="16.5" x14ac:dyDescent="0.3">
      <c r="A423" s="4">
        <v>43070</v>
      </c>
      <c r="B423" s="2" t="s">
        <v>25</v>
      </c>
      <c r="C423" s="2" t="s">
        <v>34</v>
      </c>
      <c r="D423" s="2" t="s">
        <v>20</v>
      </c>
      <c r="E423" s="16" t="s">
        <v>21</v>
      </c>
      <c r="F423" s="2">
        <v>2797</v>
      </c>
      <c r="G423" s="2">
        <v>5</v>
      </c>
      <c r="H423" s="2">
        <f t="shared" si="24"/>
        <v>8</v>
      </c>
      <c r="I423" s="2">
        <f t="shared" si="25"/>
        <v>22376</v>
      </c>
      <c r="J423" s="16">
        <f t="shared" si="26"/>
        <v>1118.8</v>
      </c>
      <c r="K423" s="2">
        <f t="shared" si="27"/>
        <v>21257.200000000001</v>
      </c>
    </row>
    <row r="424" spans="1:11" ht="16.5" x14ac:dyDescent="0.3">
      <c r="A424" s="4">
        <v>42856</v>
      </c>
      <c r="B424" s="2" t="s">
        <v>37</v>
      </c>
      <c r="C424" s="2" t="s">
        <v>23</v>
      </c>
      <c r="D424" s="2" t="s">
        <v>28</v>
      </c>
      <c r="E424" s="16" t="s">
        <v>17</v>
      </c>
      <c r="F424" s="2">
        <v>245</v>
      </c>
      <c r="G424" s="2">
        <v>120</v>
      </c>
      <c r="H424" s="2">
        <f t="shared" si="24"/>
        <v>135</v>
      </c>
      <c r="I424" s="2">
        <f t="shared" si="25"/>
        <v>33075</v>
      </c>
      <c r="J424" s="16">
        <f t="shared" si="26"/>
        <v>1653.75</v>
      </c>
      <c r="K424" s="2">
        <f t="shared" si="27"/>
        <v>31421.25</v>
      </c>
    </row>
    <row r="425" spans="1:11" ht="16.5" x14ac:dyDescent="0.3">
      <c r="A425" s="4">
        <v>42917</v>
      </c>
      <c r="B425" s="2" t="s">
        <v>31</v>
      </c>
      <c r="C425" s="2" t="s">
        <v>12</v>
      </c>
      <c r="D425" s="2" t="s">
        <v>36</v>
      </c>
      <c r="E425" s="16" t="s">
        <v>17</v>
      </c>
      <c r="F425" s="2">
        <v>3793.5</v>
      </c>
      <c r="G425" s="2">
        <v>10</v>
      </c>
      <c r="H425" s="2">
        <f t="shared" si="24"/>
        <v>25</v>
      </c>
      <c r="I425" s="2">
        <f t="shared" si="25"/>
        <v>94837.5</v>
      </c>
      <c r="J425" s="16">
        <f t="shared" si="26"/>
        <v>4741.875</v>
      </c>
      <c r="K425" s="2">
        <f t="shared" si="27"/>
        <v>90095.625</v>
      </c>
    </row>
    <row r="426" spans="1:11" ht="16.5" x14ac:dyDescent="0.3">
      <c r="A426" s="4">
        <v>42917</v>
      </c>
      <c r="B426" s="2" t="s">
        <v>31</v>
      </c>
      <c r="C426" s="2" t="s">
        <v>15</v>
      </c>
      <c r="D426" s="2" t="s">
        <v>13</v>
      </c>
      <c r="E426" s="16" t="s">
        <v>21</v>
      </c>
      <c r="F426" s="2">
        <v>1307</v>
      </c>
      <c r="G426" s="2">
        <v>30</v>
      </c>
      <c r="H426" s="2">
        <f t="shared" si="24"/>
        <v>33</v>
      </c>
      <c r="I426" s="2">
        <f t="shared" si="25"/>
        <v>43131</v>
      </c>
      <c r="J426" s="16">
        <f t="shared" si="26"/>
        <v>2156.5500000000002</v>
      </c>
      <c r="K426" s="2">
        <f t="shared" si="27"/>
        <v>40974.449999999997</v>
      </c>
    </row>
    <row r="427" spans="1:11" ht="16.5" x14ac:dyDescent="0.3">
      <c r="A427" s="4">
        <v>42979</v>
      </c>
      <c r="B427" s="2" t="s">
        <v>25</v>
      </c>
      <c r="C427" s="2" t="s">
        <v>12</v>
      </c>
      <c r="D427" s="2" t="s">
        <v>30</v>
      </c>
      <c r="E427" s="16" t="s">
        <v>21</v>
      </c>
      <c r="F427" s="2">
        <v>567</v>
      </c>
      <c r="G427" s="2">
        <v>6</v>
      </c>
      <c r="H427" s="2">
        <f t="shared" si="24"/>
        <v>9</v>
      </c>
      <c r="I427" s="2">
        <f t="shared" si="25"/>
        <v>5103</v>
      </c>
      <c r="J427" s="16">
        <f t="shared" si="26"/>
        <v>255.15</v>
      </c>
      <c r="K427" s="2">
        <f t="shared" si="27"/>
        <v>4847.8500000000004</v>
      </c>
    </row>
    <row r="428" spans="1:11" ht="16.5" x14ac:dyDescent="0.3">
      <c r="A428" s="4">
        <v>42979</v>
      </c>
      <c r="B428" s="2" t="s">
        <v>25</v>
      </c>
      <c r="C428" s="2" t="s">
        <v>23</v>
      </c>
      <c r="D428" s="2" t="s">
        <v>20</v>
      </c>
      <c r="E428" s="16" t="s">
        <v>21</v>
      </c>
      <c r="F428" s="2">
        <v>2110</v>
      </c>
      <c r="G428" s="2">
        <v>5</v>
      </c>
      <c r="H428" s="2">
        <f t="shared" si="24"/>
        <v>8</v>
      </c>
      <c r="I428" s="2">
        <f t="shared" si="25"/>
        <v>16880</v>
      </c>
      <c r="J428" s="16">
        <f t="shared" si="26"/>
        <v>844</v>
      </c>
      <c r="K428" s="2">
        <f t="shared" si="27"/>
        <v>16036</v>
      </c>
    </row>
    <row r="429" spans="1:11" ht="16.5" x14ac:dyDescent="0.3">
      <c r="A429" s="4">
        <v>43009</v>
      </c>
      <c r="B429" s="2" t="s">
        <v>11</v>
      </c>
      <c r="C429" s="2" t="s">
        <v>12</v>
      </c>
      <c r="D429" s="2" t="s">
        <v>30</v>
      </c>
      <c r="E429" s="16" t="s">
        <v>21</v>
      </c>
      <c r="F429" s="2">
        <v>1269</v>
      </c>
      <c r="G429" s="2">
        <v>6</v>
      </c>
      <c r="H429" s="2">
        <f t="shared" si="24"/>
        <v>9</v>
      </c>
      <c r="I429" s="2">
        <f t="shared" si="25"/>
        <v>11421</v>
      </c>
      <c r="J429" s="16">
        <f t="shared" si="26"/>
        <v>571.05000000000007</v>
      </c>
      <c r="K429" s="2">
        <f t="shared" si="27"/>
        <v>10849.95</v>
      </c>
    </row>
    <row r="430" spans="1:11" ht="16.5" x14ac:dyDescent="0.3">
      <c r="A430" s="4">
        <v>42736</v>
      </c>
      <c r="B430" s="2" t="s">
        <v>11</v>
      </c>
      <c r="C430" s="2" t="s">
        <v>34</v>
      </c>
      <c r="D430" s="2" t="s">
        <v>33</v>
      </c>
      <c r="E430" s="16" t="s">
        <v>24</v>
      </c>
      <c r="F430" s="2">
        <v>1956</v>
      </c>
      <c r="G430" s="2">
        <v>20</v>
      </c>
      <c r="H430" s="2">
        <f t="shared" si="24"/>
        <v>30</v>
      </c>
      <c r="I430" s="2">
        <f t="shared" si="25"/>
        <v>58680</v>
      </c>
      <c r="J430" s="16">
        <f t="shared" si="26"/>
        <v>2934</v>
      </c>
      <c r="K430" s="2">
        <f t="shared" si="27"/>
        <v>55746</v>
      </c>
    </row>
    <row r="431" spans="1:11" ht="16.5" x14ac:dyDescent="0.3">
      <c r="A431" s="4">
        <v>42767</v>
      </c>
      <c r="B431" s="2" t="s">
        <v>27</v>
      </c>
      <c r="C431" s="2" t="s">
        <v>15</v>
      </c>
      <c r="D431" s="2" t="s">
        <v>30</v>
      </c>
      <c r="E431" s="16" t="s">
        <v>14</v>
      </c>
      <c r="F431" s="2">
        <v>2659</v>
      </c>
      <c r="G431" s="2">
        <v>6</v>
      </c>
      <c r="H431" s="2">
        <f t="shared" si="24"/>
        <v>26</v>
      </c>
      <c r="I431" s="2">
        <f t="shared" si="25"/>
        <v>69134</v>
      </c>
      <c r="J431" s="16">
        <f t="shared" si="26"/>
        <v>3456.7000000000003</v>
      </c>
      <c r="K431" s="2">
        <f t="shared" si="27"/>
        <v>65677.3</v>
      </c>
    </row>
    <row r="432" spans="1:11" ht="16.5" x14ac:dyDescent="0.3">
      <c r="A432" s="4">
        <v>42826</v>
      </c>
      <c r="B432" s="2" t="s">
        <v>31</v>
      </c>
      <c r="C432" s="2" t="s">
        <v>34</v>
      </c>
      <c r="D432" s="2" t="s">
        <v>33</v>
      </c>
      <c r="E432" s="16" t="s">
        <v>14</v>
      </c>
      <c r="F432" s="2">
        <v>1351.5</v>
      </c>
      <c r="G432" s="2">
        <v>20</v>
      </c>
      <c r="H432" s="2">
        <f t="shared" si="24"/>
        <v>40</v>
      </c>
      <c r="I432" s="2">
        <f t="shared" si="25"/>
        <v>54060</v>
      </c>
      <c r="J432" s="16">
        <f t="shared" si="26"/>
        <v>2703</v>
      </c>
      <c r="K432" s="2">
        <f t="shared" si="27"/>
        <v>51357</v>
      </c>
    </row>
    <row r="433" spans="1:11" ht="16.5" x14ac:dyDescent="0.3">
      <c r="A433" s="4">
        <v>42856</v>
      </c>
      <c r="B433" s="2" t="s">
        <v>37</v>
      </c>
      <c r="C433" s="2" t="s">
        <v>15</v>
      </c>
      <c r="D433" s="2" t="s">
        <v>36</v>
      </c>
      <c r="E433" s="16" t="s">
        <v>21</v>
      </c>
      <c r="F433" s="2">
        <v>880</v>
      </c>
      <c r="G433" s="2">
        <v>10</v>
      </c>
      <c r="H433" s="2">
        <f t="shared" si="24"/>
        <v>13</v>
      </c>
      <c r="I433" s="2">
        <f t="shared" si="25"/>
        <v>11440</v>
      </c>
      <c r="J433" s="16">
        <f t="shared" si="26"/>
        <v>572</v>
      </c>
      <c r="K433" s="2">
        <f t="shared" si="27"/>
        <v>10868</v>
      </c>
    </row>
    <row r="434" spans="1:11" ht="16.5" x14ac:dyDescent="0.3">
      <c r="A434" s="4">
        <v>42979</v>
      </c>
      <c r="B434" s="2" t="s">
        <v>25</v>
      </c>
      <c r="C434" s="2" t="s">
        <v>34</v>
      </c>
      <c r="D434" s="2" t="s">
        <v>29</v>
      </c>
      <c r="E434" s="16" t="s">
        <v>21</v>
      </c>
      <c r="F434" s="2">
        <v>1867</v>
      </c>
      <c r="G434" s="2">
        <v>40</v>
      </c>
      <c r="H434" s="2">
        <f t="shared" si="24"/>
        <v>43</v>
      </c>
      <c r="I434" s="2">
        <f t="shared" si="25"/>
        <v>80281</v>
      </c>
      <c r="J434" s="16">
        <f t="shared" si="26"/>
        <v>4014.05</v>
      </c>
      <c r="K434" s="2">
        <f t="shared" si="27"/>
        <v>76266.95</v>
      </c>
    </row>
    <row r="435" spans="1:11" ht="16.5" x14ac:dyDescent="0.3">
      <c r="A435" s="4">
        <v>42979</v>
      </c>
      <c r="B435" s="2" t="s">
        <v>25</v>
      </c>
      <c r="C435" s="2" t="s">
        <v>19</v>
      </c>
      <c r="D435" s="2" t="s">
        <v>33</v>
      </c>
      <c r="E435" s="16" t="s">
        <v>17</v>
      </c>
      <c r="F435" s="2">
        <v>2234</v>
      </c>
      <c r="G435" s="2">
        <v>20</v>
      </c>
      <c r="H435" s="2">
        <f t="shared" si="24"/>
        <v>35</v>
      </c>
      <c r="I435" s="2">
        <f t="shared" si="25"/>
        <v>78190</v>
      </c>
      <c r="J435" s="16">
        <f t="shared" si="26"/>
        <v>3909.5</v>
      </c>
      <c r="K435" s="2">
        <f t="shared" si="27"/>
        <v>74280.5</v>
      </c>
    </row>
    <row r="436" spans="1:11" ht="16.5" x14ac:dyDescent="0.3">
      <c r="A436" s="4">
        <v>43009</v>
      </c>
      <c r="B436" s="2" t="s">
        <v>11</v>
      </c>
      <c r="C436" s="2" t="s">
        <v>19</v>
      </c>
      <c r="D436" s="2" t="s">
        <v>22</v>
      </c>
      <c r="E436" s="16" t="s">
        <v>17</v>
      </c>
      <c r="F436" s="2">
        <v>1227</v>
      </c>
      <c r="G436" s="2">
        <v>3</v>
      </c>
      <c r="H436" s="2">
        <f t="shared" si="24"/>
        <v>18</v>
      </c>
      <c r="I436" s="2">
        <f t="shared" si="25"/>
        <v>22086</v>
      </c>
      <c r="J436" s="16">
        <f t="shared" si="26"/>
        <v>1104.3</v>
      </c>
      <c r="K436" s="2">
        <f t="shared" si="27"/>
        <v>20981.7</v>
      </c>
    </row>
    <row r="437" spans="1:11" ht="16.5" x14ac:dyDescent="0.3">
      <c r="A437" s="4">
        <v>43040</v>
      </c>
      <c r="B437" s="2" t="s">
        <v>27</v>
      </c>
      <c r="C437" s="2" t="s">
        <v>23</v>
      </c>
      <c r="D437" s="2" t="s">
        <v>20</v>
      </c>
      <c r="E437" s="16" t="s">
        <v>21</v>
      </c>
      <c r="F437" s="2">
        <v>877</v>
      </c>
      <c r="G437" s="2">
        <v>5</v>
      </c>
      <c r="H437" s="2">
        <f t="shared" si="24"/>
        <v>8</v>
      </c>
      <c r="I437" s="2">
        <f t="shared" si="25"/>
        <v>7016</v>
      </c>
      <c r="J437" s="16">
        <f t="shared" si="26"/>
        <v>350.8</v>
      </c>
      <c r="K437" s="2">
        <f t="shared" si="27"/>
        <v>6665.2</v>
      </c>
    </row>
    <row r="438" spans="1:11" ht="16.5" x14ac:dyDescent="0.3">
      <c r="A438" s="4">
        <v>42979</v>
      </c>
      <c r="B438" s="2" t="s">
        <v>25</v>
      </c>
      <c r="C438" s="2" t="s">
        <v>34</v>
      </c>
      <c r="D438" s="2" t="s">
        <v>26</v>
      </c>
      <c r="E438" s="16" t="s">
        <v>21</v>
      </c>
      <c r="F438" s="2">
        <v>2071</v>
      </c>
      <c r="G438" s="2">
        <v>2</v>
      </c>
      <c r="H438" s="2">
        <f t="shared" si="24"/>
        <v>5</v>
      </c>
      <c r="I438" s="2">
        <f t="shared" si="25"/>
        <v>10355</v>
      </c>
      <c r="J438" s="16">
        <f t="shared" si="26"/>
        <v>517.75</v>
      </c>
      <c r="K438" s="2">
        <f t="shared" si="27"/>
        <v>9837.25</v>
      </c>
    </row>
    <row r="439" spans="1:11" ht="16.5" x14ac:dyDescent="0.3">
      <c r="A439" s="4">
        <v>43009</v>
      </c>
      <c r="B439" s="2" t="s">
        <v>11</v>
      </c>
      <c r="C439" s="2" t="s">
        <v>12</v>
      </c>
      <c r="D439" s="2" t="s">
        <v>30</v>
      </c>
      <c r="E439" s="16" t="s">
        <v>21</v>
      </c>
      <c r="F439" s="2">
        <v>1269</v>
      </c>
      <c r="G439" s="2">
        <v>6</v>
      </c>
      <c r="H439" s="2">
        <f t="shared" si="24"/>
        <v>9</v>
      </c>
      <c r="I439" s="2">
        <f t="shared" si="25"/>
        <v>11421</v>
      </c>
      <c r="J439" s="16">
        <f t="shared" si="26"/>
        <v>571.05000000000007</v>
      </c>
      <c r="K439" s="2">
        <f t="shared" si="27"/>
        <v>10849.95</v>
      </c>
    </row>
    <row r="440" spans="1:11" ht="16.5" x14ac:dyDescent="0.3">
      <c r="A440" s="4">
        <v>43040</v>
      </c>
      <c r="B440" s="2" t="s">
        <v>27</v>
      </c>
      <c r="C440" s="2" t="s">
        <v>15</v>
      </c>
      <c r="D440" s="2" t="s">
        <v>20</v>
      </c>
      <c r="E440" s="16" t="s">
        <v>24</v>
      </c>
      <c r="F440" s="2">
        <v>970</v>
      </c>
      <c r="G440" s="2">
        <v>5</v>
      </c>
      <c r="H440" s="2">
        <f t="shared" si="24"/>
        <v>15</v>
      </c>
      <c r="I440" s="2">
        <f t="shared" si="25"/>
        <v>14550</v>
      </c>
      <c r="J440" s="16">
        <f t="shared" si="26"/>
        <v>727.5</v>
      </c>
      <c r="K440" s="2">
        <f t="shared" si="27"/>
        <v>13822.5</v>
      </c>
    </row>
    <row r="441" spans="1:11" ht="16.5" x14ac:dyDescent="0.3">
      <c r="A441" s="4">
        <v>43040</v>
      </c>
      <c r="B441" s="2" t="s">
        <v>27</v>
      </c>
      <c r="C441" s="2" t="s">
        <v>23</v>
      </c>
      <c r="D441" s="2" t="s">
        <v>28</v>
      </c>
      <c r="E441" s="16" t="s">
        <v>14</v>
      </c>
      <c r="F441" s="2">
        <v>1694</v>
      </c>
      <c r="G441" s="2">
        <v>120</v>
      </c>
      <c r="H441" s="2">
        <f t="shared" si="24"/>
        <v>140</v>
      </c>
      <c r="I441" s="2">
        <f t="shared" si="25"/>
        <v>237160</v>
      </c>
      <c r="J441" s="16">
        <f t="shared" si="26"/>
        <v>11858</v>
      </c>
      <c r="K441" s="2">
        <f t="shared" si="27"/>
        <v>225302</v>
      </c>
    </row>
    <row r="442" spans="1:11" ht="16.5" x14ac:dyDescent="0.3">
      <c r="A442" s="4">
        <v>42856</v>
      </c>
      <c r="B442" s="2" t="s">
        <v>37</v>
      </c>
      <c r="C442" s="2" t="s">
        <v>15</v>
      </c>
      <c r="D442" s="2" t="s">
        <v>36</v>
      </c>
      <c r="E442" s="16" t="s">
        <v>14</v>
      </c>
      <c r="F442" s="2">
        <v>663</v>
      </c>
      <c r="G442" s="2">
        <v>10</v>
      </c>
      <c r="H442" s="2">
        <f t="shared" si="24"/>
        <v>30</v>
      </c>
      <c r="I442" s="2">
        <f t="shared" si="25"/>
        <v>19890</v>
      </c>
      <c r="J442" s="16">
        <f t="shared" si="26"/>
        <v>994.5</v>
      </c>
      <c r="K442" s="2">
        <f t="shared" si="27"/>
        <v>18895.5</v>
      </c>
    </row>
    <row r="443" spans="1:11" ht="16.5" x14ac:dyDescent="0.3">
      <c r="A443" s="4">
        <v>42917</v>
      </c>
      <c r="B443" s="2" t="s">
        <v>31</v>
      </c>
      <c r="C443" s="2" t="s">
        <v>12</v>
      </c>
      <c r="D443" s="2" t="s">
        <v>35</v>
      </c>
      <c r="E443" s="16" t="s">
        <v>21</v>
      </c>
      <c r="F443" s="2">
        <v>819</v>
      </c>
      <c r="G443" s="2">
        <v>25</v>
      </c>
      <c r="H443" s="2">
        <f t="shared" si="24"/>
        <v>28</v>
      </c>
      <c r="I443" s="2">
        <f t="shared" si="25"/>
        <v>22932</v>
      </c>
      <c r="J443" s="16">
        <f t="shared" si="26"/>
        <v>1146.6000000000001</v>
      </c>
      <c r="K443" s="2">
        <f t="shared" si="27"/>
        <v>21785.4</v>
      </c>
    </row>
    <row r="444" spans="1:11" ht="16.5" x14ac:dyDescent="0.3">
      <c r="A444" s="4">
        <v>42979</v>
      </c>
      <c r="B444" s="2" t="s">
        <v>25</v>
      </c>
      <c r="C444" s="2" t="s">
        <v>15</v>
      </c>
      <c r="D444" s="2" t="s">
        <v>16</v>
      </c>
      <c r="E444" s="16" t="s">
        <v>21</v>
      </c>
      <c r="F444" s="2">
        <v>1580</v>
      </c>
      <c r="G444" s="2">
        <v>4</v>
      </c>
      <c r="H444" s="2">
        <f t="shared" si="24"/>
        <v>7</v>
      </c>
      <c r="I444" s="2">
        <f t="shared" si="25"/>
        <v>11060</v>
      </c>
      <c r="J444" s="16">
        <f t="shared" si="26"/>
        <v>553</v>
      </c>
      <c r="K444" s="2">
        <f t="shared" si="27"/>
        <v>10507</v>
      </c>
    </row>
    <row r="445" spans="1:11" ht="16.5" x14ac:dyDescent="0.3">
      <c r="A445" s="4">
        <v>43070</v>
      </c>
      <c r="B445" s="2" t="s">
        <v>25</v>
      </c>
      <c r="C445" s="2" t="s">
        <v>23</v>
      </c>
      <c r="D445" s="2" t="s">
        <v>29</v>
      </c>
      <c r="E445" s="16" t="s">
        <v>17</v>
      </c>
      <c r="F445" s="2">
        <v>521</v>
      </c>
      <c r="G445" s="2">
        <v>40</v>
      </c>
      <c r="H445" s="2">
        <f t="shared" si="24"/>
        <v>55</v>
      </c>
      <c r="I445" s="2">
        <f t="shared" si="25"/>
        <v>28655</v>
      </c>
      <c r="J445" s="16">
        <f t="shared" si="26"/>
        <v>1432.75</v>
      </c>
      <c r="K445" s="2">
        <f t="shared" si="27"/>
        <v>27222.25</v>
      </c>
    </row>
    <row r="446" spans="1:11" ht="16.5" x14ac:dyDescent="0.3">
      <c r="A446" s="4">
        <v>42795</v>
      </c>
      <c r="B446" s="2" t="s">
        <v>27</v>
      </c>
      <c r="C446" s="2" t="s">
        <v>34</v>
      </c>
      <c r="D446" s="2" t="s">
        <v>13</v>
      </c>
      <c r="E446" s="16" t="s">
        <v>17</v>
      </c>
      <c r="F446" s="2">
        <v>973</v>
      </c>
      <c r="G446" s="2">
        <v>30</v>
      </c>
      <c r="H446" s="2">
        <f t="shared" si="24"/>
        <v>45</v>
      </c>
      <c r="I446" s="2">
        <f t="shared" si="25"/>
        <v>43785</v>
      </c>
      <c r="J446" s="16">
        <f t="shared" si="26"/>
        <v>2189.25</v>
      </c>
      <c r="K446" s="2">
        <f t="shared" si="27"/>
        <v>41595.75</v>
      </c>
    </row>
    <row r="447" spans="1:11" ht="16.5" x14ac:dyDescent="0.3">
      <c r="A447" s="4">
        <v>42887</v>
      </c>
      <c r="B447" s="2" t="s">
        <v>18</v>
      </c>
      <c r="C447" s="2" t="s">
        <v>23</v>
      </c>
      <c r="D447" s="2" t="s">
        <v>30</v>
      </c>
      <c r="E447" s="16" t="s">
        <v>21</v>
      </c>
      <c r="F447" s="2">
        <v>1038</v>
      </c>
      <c r="G447" s="2">
        <v>6</v>
      </c>
      <c r="H447" s="2">
        <f t="shared" si="24"/>
        <v>9</v>
      </c>
      <c r="I447" s="2">
        <f t="shared" si="25"/>
        <v>9342</v>
      </c>
      <c r="J447" s="16">
        <f t="shared" si="26"/>
        <v>467.1</v>
      </c>
      <c r="K447" s="2">
        <f t="shared" si="27"/>
        <v>8874.9</v>
      </c>
    </row>
    <row r="448" spans="1:11" ht="16.5" x14ac:dyDescent="0.3">
      <c r="A448" s="4">
        <v>43009</v>
      </c>
      <c r="B448" s="2" t="s">
        <v>11</v>
      </c>
      <c r="C448" s="2" t="s">
        <v>15</v>
      </c>
      <c r="D448" s="2" t="s">
        <v>20</v>
      </c>
      <c r="E448" s="16" t="s">
        <v>21</v>
      </c>
      <c r="F448" s="2">
        <v>360</v>
      </c>
      <c r="G448" s="2">
        <v>5</v>
      </c>
      <c r="H448" s="2">
        <f t="shared" si="24"/>
        <v>8</v>
      </c>
      <c r="I448" s="2">
        <f t="shared" si="25"/>
        <v>2880</v>
      </c>
      <c r="J448" s="16">
        <f t="shared" si="26"/>
        <v>144</v>
      </c>
      <c r="K448" s="2">
        <f t="shared" si="27"/>
        <v>2736</v>
      </c>
    </row>
    <row r="449" spans="1:11" ht="16.5" x14ac:dyDescent="0.3">
      <c r="A449" s="4">
        <v>42795</v>
      </c>
      <c r="B449" s="2" t="s">
        <v>27</v>
      </c>
      <c r="C449" s="2" t="s">
        <v>19</v>
      </c>
      <c r="D449" s="2" t="s">
        <v>30</v>
      </c>
      <c r="E449" s="16" t="s">
        <v>21</v>
      </c>
      <c r="F449" s="2">
        <v>1967</v>
      </c>
      <c r="G449" s="2">
        <v>6</v>
      </c>
      <c r="H449" s="2">
        <f t="shared" si="24"/>
        <v>9</v>
      </c>
      <c r="I449" s="2">
        <f t="shared" si="25"/>
        <v>17703</v>
      </c>
      <c r="J449" s="16">
        <f t="shared" si="26"/>
        <v>885.15000000000009</v>
      </c>
      <c r="K449" s="2">
        <f t="shared" si="27"/>
        <v>16817.849999999999</v>
      </c>
    </row>
    <row r="450" spans="1:11" ht="16.5" x14ac:dyDescent="0.3">
      <c r="A450" s="4">
        <v>42826</v>
      </c>
      <c r="B450" s="2" t="s">
        <v>31</v>
      </c>
      <c r="C450" s="2" t="s">
        <v>23</v>
      </c>
      <c r="D450" s="2" t="s">
        <v>26</v>
      </c>
      <c r="E450" s="16" t="s">
        <v>21</v>
      </c>
      <c r="F450" s="2">
        <v>2628</v>
      </c>
      <c r="G450" s="2">
        <v>2</v>
      </c>
      <c r="H450" s="2">
        <f t="shared" si="24"/>
        <v>5</v>
      </c>
      <c r="I450" s="2">
        <f t="shared" si="25"/>
        <v>13140</v>
      </c>
      <c r="J450" s="16">
        <f t="shared" si="26"/>
        <v>657</v>
      </c>
      <c r="K450" s="2">
        <f t="shared" si="27"/>
        <v>12483</v>
      </c>
    </row>
    <row r="451" spans="1:11" ht="16.5" x14ac:dyDescent="0.3">
      <c r="A451" s="4">
        <v>43009</v>
      </c>
      <c r="B451" s="2" t="s">
        <v>11</v>
      </c>
      <c r="C451" s="2" t="s">
        <v>15</v>
      </c>
      <c r="D451" s="2" t="s">
        <v>33</v>
      </c>
      <c r="E451" s="16" t="s">
        <v>24</v>
      </c>
      <c r="F451" s="2">
        <v>360</v>
      </c>
      <c r="G451" s="2">
        <v>20</v>
      </c>
      <c r="H451" s="2">
        <f t="shared" ref="H451:H514" si="28">IF(E451="High",G451+20,IF(E451="Medium",G451+15,IF(E451="Low",G451+10,G451+3)))</f>
        <v>30</v>
      </c>
      <c r="I451" s="2">
        <f t="shared" ref="I451:I514" si="29">F451*H451</f>
        <v>10800</v>
      </c>
      <c r="J451" s="16">
        <f t="shared" ref="J451:J514" si="30">IF(AND(D451="Note Book",F451&gt;2500),I451*12%,IF(AND(E451="Long Note Book",N451&lt;1800),I451*8%,I451*5%))</f>
        <v>540</v>
      </c>
      <c r="K451" s="2">
        <f t="shared" ref="K451:K514" si="31">I451-J451</f>
        <v>10260</v>
      </c>
    </row>
    <row r="452" spans="1:11" ht="16.5" x14ac:dyDescent="0.3">
      <c r="A452" s="4">
        <v>43040</v>
      </c>
      <c r="B452" s="2" t="s">
        <v>27</v>
      </c>
      <c r="C452" s="2" t="s">
        <v>19</v>
      </c>
      <c r="D452" s="2" t="s">
        <v>13</v>
      </c>
      <c r="E452" s="16" t="s">
        <v>14</v>
      </c>
      <c r="F452" s="2">
        <v>2682</v>
      </c>
      <c r="G452" s="2">
        <v>30</v>
      </c>
      <c r="H452" s="2">
        <f t="shared" si="28"/>
        <v>50</v>
      </c>
      <c r="I452" s="2">
        <f t="shared" si="29"/>
        <v>134100</v>
      </c>
      <c r="J452" s="16">
        <f t="shared" si="30"/>
        <v>16092</v>
      </c>
      <c r="K452" s="2">
        <f t="shared" si="31"/>
        <v>118008</v>
      </c>
    </row>
    <row r="453" spans="1:11" ht="16.5" x14ac:dyDescent="0.3">
      <c r="A453" s="4">
        <v>43070</v>
      </c>
      <c r="B453" s="2" t="s">
        <v>25</v>
      </c>
      <c r="C453" s="2" t="s">
        <v>23</v>
      </c>
      <c r="D453" s="2" t="s">
        <v>29</v>
      </c>
      <c r="E453" s="16" t="s">
        <v>14</v>
      </c>
      <c r="F453" s="2">
        <v>521</v>
      </c>
      <c r="G453" s="2">
        <v>40</v>
      </c>
      <c r="H453" s="2">
        <f t="shared" si="28"/>
        <v>60</v>
      </c>
      <c r="I453" s="2">
        <f t="shared" si="29"/>
        <v>31260</v>
      </c>
      <c r="J453" s="16">
        <f t="shared" si="30"/>
        <v>1563</v>
      </c>
      <c r="K453" s="2">
        <f t="shared" si="31"/>
        <v>29697</v>
      </c>
    </row>
    <row r="454" spans="1:11" ht="16.5" x14ac:dyDescent="0.3">
      <c r="A454" s="4">
        <v>42887</v>
      </c>
      <c r="B454" s="2" t="s">
        <v>18</v>
      </c>
      <c r="C454" s="2" t="s">
        <v>23</v>
      </c>
      <c r="D454" s="2" t="s">
        <v>26</v>
      </c>
      <c r="E454" s="16" t="s">
        <v>21</v>
      </c>
      <c r="F454" s="2">
        <v>1038</v>
      </c>
      <c r="G454" s="2">
        <v>2</v>
      </c>
      <c r="H454" s="2">
        <f t="shared" si="28"/>
        <v>5</v>
      </c>
      <c r="I454" s="2">
        <f t="shared" si="29"/>
        <v>5190</v>
      </c>
      <c r="J454" s="16">
        <f t="shared" si="30"/>
        <v>259.5</v>
      </c>
      <c r="K454" s="2">
        <f t="shared" si="31"/>
        <v>4930.5</v>
      </c>
    </row>
    <row r="455" spans="1:11" ht="16.5" x14ac:dyDescent="0.3">
      <c r="A455" s="4">
        <v>42917</v>
      </c>
      <c r="B455" s="2" t="s">
        <v>31</v>
      </c>
      <c r="C455" s="2" t="s">
        <v>12</v>
      </c>
      <c r="D455" s="2" t="s">
        <v>26</v>
      </c>
      <c r="E455" s="16" t="s">
        <v>21</v>
      </c>
      <c r="F455" s="2">
        <v>1630.5</v>
      </c>
      <c r="G455" s="2">
        <v>2</v>
      </c>
      <c r="H455" s="2">
        <f t="shared" si="28"/>
        <v>5</v>
      </c>
      <c r="I455" s="2">
        <f t="shared" si="29"/>
        <v>8152.5</v>
      </c>
      <c r="J455" s="16">
        <f t="shared" si="30"/>
        <v>407.625</v>
      </c>
      <c r="K455" s="2">
        <f t="shared" si="31"/>
        <v>7744.875</v>
      </c>
    </row>
    <row r="456" spans="1:11" ht="16.5" x14ac:dyDescent="0.3">
      <c r="A456" s="4">
        <v>43070</v>
      </c>
      <c r="B456" s="2" t="s">
        <v>25</v>
      </c>
      <c r="C456" s="2" t="s">
        <v>19</v>
      </c>
      <c r="D456" s="2" t="s">
        <v>30</v>
      </c>
      <c r="E456" s="16" t="s">
        <v>17</v>
      </c>
      <c r="F456" s="2">
        <v>306</v>
      </c>
      <c r="G456" s="2">
        <v>6</v>
      </c>
      <c r="H456" s="2">
        <f t="shared" si="28"/>
        <v>21</v>
      </c>
      <c r="I456" s="2">
        <f t="shared" si="29"/>
        <v>6426</v>
      </c>
      <c r="J456" s="16">
        <f t="shared" si="30"/>
        <v>321.3</v>
      </c>
      <c r="K456" s="2">
        <f t="shared" si="31"/>
        <v>6104.7</v>
      </c>
    </row>
    <row r="457" spans="1:11" ht="16.5" x14ac:dyDescent="0.3">
      <c r="A457" s="4">
        <v>43009</v>
      </c>
      <c r="B457" s="2" t="s">
        <v>11</v>
      </c>
      <c r="C457" s="2" t="s">
        <v>34</v>
      </c>
      <c r="D457" s="2" t="s">
        <v>16</v>
      </c>
      <c r="E457" s="16" t="s">
        <v>17</v>
      </c>
      <c r="F457" s="2">
        <v>386</v>
      </c>
      <c r="G457" s="2">
        <v>4</v>
      </c>
      <c r="H457" s="2">
        <f t="shared" si="28"/>
        <v>19</v>
      </c>
      <c r="I457" s="2">
        <f t="shared" si="29"/>
        <v>7334</v>
      </c>
      <c r="J457" s="16">
        <f t="shared" si="30"/>
        <v>366.70000000000005</v>
      </c>
      <c r="K457" s="2">
        <f t="shared" si="31"/>
        <v>6967.3</v>
      </c>
    </row>
    <row r="458" spans="1:11" ht="16.5" x14ac:dyDescent="0.3">
      <c r="A458" s="4">
        <v>42979</v>
      </c>
      <c r="B458" s="2" t="s">
        <v>25</v>
      </c>
      <c r="C458" s="2" t="s">
        <v>34</v>
      </c>
      <c r="D458" s="2" t="s">
        <v>26</v>
      </c>
      <c r="E458" s="16" t="s">
        <v>21</v>
      </c>
      <c r="F458" s="2">
        <v>2328</v>
      </c>
      <c r="G458" s="2">
        <v>2</v>
      </c>
      <c r="H458" s="2">
        <f t="shared" si="28"/>
        <v>5</v>
      </c>
      <c r="I458" s="2">
        <f t="shared" si="29"/>
        <v>11640</v>
      </c>
      <c r="J458" s="16">
        <f t="shared" si="30"/>
        <v>582</v>
      </c>
      <c r="K458" s="2">
        <f t="shared" si="31"/>
        <v>11058</v>
      </c>
    </row>
    <row r="459" spans="1:11" ht="16.5" x14ac:dyDescent="0.3">
      <c r="A459" s="4">
        <v>43009</v>
      </c>
      <c r="B459" s="2" t="s">
        <v>11</v>
      </c>
      <c r="C459" s="2" t="s">
        <v>34</v>
      </c>
      <c r="D459" s="2" t="s">
        <v>29</v>
      </c>
      <c r="E459" s="16" t="s">
        <v>21</v>
      </c>
      <c r="F459" s="2">
        <v>386</v>
      </c>
      <c r="G459" s="2">
        <v>40</v>
      </c>
      <c r="H459" s="2">
        <f t="shared" si="28"/>
        <v>43</v>
      </c>
      <c r="I459" s="2">
        <f t="shared" si="29"/>
        <v>16598</v>
      </c>
      <c r="J459" s="16">
        <f t="shared" si="30"/>
        <v>829.90000000000009</v>
      </c>
      <c r="K459" s="2">
        <f t="shared" si="31"/>
        <v>15768.1</v>
      </c>
    </row>
    <row r="460" spans="1:11" ht="16.5" x14ac:dyDescent="0.3">
      <c r="A460" s="4">
        <v>42826</v>
      </c>
      <c r="B460" s="2" t="s">
        <v>31</v>
      </c>
      <c r="C460" s="2" t="s">
        <v>34</v>
      </c>
      <c r="D460" s="2" t="s">
        <v>16</v>
      </c>
      <c r="E460" s="16" t="s">
        <v>21</v>
      </c>
      <c r="F460" s="2">
        <v>3445.5</v>
      </c>
      <c r="G460" s="2">
        <v>4</v>
      </c>
      <c r="H460" s="2">
        <f t="shared" si="28"/>
        <v>7</v>
      </c>
      <c r="I460" s="2">
        <f t="shared" si="29"/>
        <v>24118.5</v>
      </c>
      <c r="J460" s="16">
        <f t="shared" si="30"/>
        <v>1205.925</v>
      </c>
      <c r="K460" s="2">
        <f t="shared" si="31"/>
        <v>22912.575000000001</v>
      </c>
    </row>
    <row r="461" spans="1:11" ht="16.5" x14ac:dyDescent="0.3">
      <c r="A461" s="4">
        <v>43070</v>
      </c>
      <c r="B461" s="2" t="s">
        <v>25</v>
      </c>
      <c r="C461" s="2" t="s">
        <v>19</v>
      </c>
      <c r="D461" s="2" t="s">
        <v>36</v>
      </c>
      <c r="E461" s="16" t="s">
        <v>24</v>
      </c>
      <c r="F461" s="2">
        <v>1482</v>
      </c>
      <c r="G461" s="2">
        <v>10</v>
      </c>
      <c r="H461" s="2">
        <f t="shared" si="28"/>
        <v>20</v>
      </c>
      <c r="I461" s="2">
        <f t="shared" si="29"/>
        <v>29640</v>
      </c>
      <c r="J461" s="16">
        <f t="shared" si="30"/>
        <v>1482</v>
      </c>
      <c r="K461" s="2">
        <f t="shared" si="31"/>
        <v>28158</v>
      </c>
    </row>
    <row r="462" spans="1:11" ht="16.5" x14ac:dyDescent="0.3">
      <c r="A462" s="4">
        <v>42856</v>
      </c>
      <c r="B462" s="2" t="s">
        <v>37</v>
      </c>
      <c r="C462" s="2" t="s">
        <v>34</v>
      </c>
      <c r="D462" s="2" t="s">
        <v>30</v>
      </c>
      <c r="E462" s="16" t="s">
        <v>14</v>
      </c>
      <c r="F462" s="2">
        <v>2313</v>
      </c>
      <c r="G462" s="2">
        <v>6</v>
      </c>
      <c r="H462" s="2">
        <f t="shared" si="28"/>
        <v>26</v>
      </c>
      <c r="I462" s="2">
        <f t="shared" si="29"/>
        <v>60138</v>
      </c>
      <c r="J462" s="16">
        <f t="shared" si="30"/>
        <v>3006.9</v>
      </c>
      <c r="K462" s="2">
        <f t="shared" si="31"/>
        <v>57131.1</v>
      </c>
    </row>
    <row r="463" spans="1:11" ht="16.5" x14ac:dyDescent="0.3">
      <c r="A463" s="4">
        <v>43040</v>
      </c>
      <c r="B463" s="2" t="s">
        <v>27</v>
      </c>
      <c r="C463" s="2" t="s">
        <v>34</v>
      </c>
      <c r="D463" s="2" t="s">
        <v>13</v>
      </c>
      <c r="E463" s="16" t="s">
        <v>14</v>
      </c>
      <c r="F463" s="2">
        <v>1804</v>
      </c>
      <c r="G463" s="2">
        <v>30</v>
      </c>
      <c r="H463" s="2">
        <f t="shared" si="28"/>
        <v>50</v>
      </c>
      <c r="I463" s="2">
        <f t="shared" si="29"/>
        <v>90200</v>
      </c>
      <c r="J463" s="16">
        <f t="shared" si="30"/>
        <v>4510</v>
      </c>
      <c r="K463" s="2">
        <f t="shared" si="31"/>
        <v>85690</v>
      </c>
    </row>
    <row r="464" spans="1:11" ht="16.5" x14ac:dyDescent="0.3">
      <c r="A464" s="4">
        <v>43070</v>
      </c>
      <c r="B464" s="2" t="s">
        <v>25</v>
      </c>
      <c r="C464" s="2" t="s">
        <v>19</v>
      </c>
      <c r="D464" s="2" t="s">
        <v>35</v>
      </c>
      <c r="E464" s="16" t="s">
        <v>21</v>
      </c>
      <c r="F464" s="2">
        <v>2072</v>
      </c>
      <c r="G464" s="2">
        <v>25</v>
      </c>
      <c r="H464" s="2">
        <f t="shared" si="28"/>
        <v>28</v>
      </c>
      <c r="I464" s="2">
        <f t="shared" si="29"/>
        <v>58016</v>
      </c>
      <c r="J464" s="16">
        <f t="shared" si="30"/>
        <v>2900.8</v>
      </c>
      <c r="K464" s="2">
        <f t="shared" si="31"/>
        <v>55115.199999999997</v>
      </c>
    </row>
    <row r="465" spans="1:11" ht="16.5" x14ac:dyDescent="0.3">
      <c r="A465" s="4">
        <v>42795</v>
      </c>
      <c r="B465" s="2" t="s">
        <v>27</v>
      </c>
      <c r="C465" s="2" t="s">
        <v>19</v>
      </c>
      <c r="D465" s="2" t="s">
        <v>20</v>
      </c>
      <c r="E465" s="16" t="s">
        <v>21</v>
      </c>
      <c r="F465" s="2">
        <v>1954</v>
      </c>
      <c r="G465" s="2">
        <v>5</v>
      </c>
      <c r="H465" s="2">
        <f t="shared" si="28"/>
        <v>8</v>
      </c>
      <c r="I465" s="2">
        <f t="shared" si="29"/>
        <v>15632</v>
      </c>
      <c r="J465" s="16">
        <f t="shared" si="30"/>
        <v>781.6</v>
      </c>
      <c r="K465" s="2">
        <f t="shared" si="31"/>
        <v>14850.4</v>
      </c>
    </row>
    <row r="466" spans="1:11" ht="16.5" x14ac:dyDescent="0.3">
      <c r="A466" s="4">
        <v>42856</v>
      </c>
      <c r="B466" s="2" t="s">
        <v>37</v>
      </c>
      <c r="C466" s="2" t="s">
        <v>23</v>
      </c>
      <c r="D466" s="2" t="s">
        <v>35</v>
      </c>
      <c r="E466" s="16" t="s">
        <v>17</v>
      </c>
      <c r="F466" s="2">
        <v>591</v>
      </c>
      <c r="G466" s="2">
        <v>25</v>
      </c>
      <c r="H466" s="2">
        <f t="shared" si="28"/>
        <v>40</v>
      </c>
      <c r="I466" s="2">
        <f t="shared" si="29"/>
        <v>23640</v>
      </c>
      <c r="J466" s="16">
        <f t="shared" si="30"/>
        <v>1182</v>
      </c>
      <c r="K466" s="2">
        <f t="shared" si="31"/>
        <v>22458</v>
      </c>
    </row>
    <row r="467" spans="1:11" ht="16.5" x14ac:dyDescent="0.3">
      <c r="A467" s="4">
        <v>43009</v>
      </c>
      <c r="B467" s="2" t="s">
        <v>11</v>
      </c>
      <c r="C467" s="2" t="s">
        <v>19</v>
      </c>
      <c r="D467" s="2" t="s">
        <v>22</v>
      </c>
      <c r="E467" s="16" t="s">
        <v>17</v>
      </c>
      <c r="F467" s="2">
        <v>2167</v>
      </c>
      <c r="G467" s="2">
        <v>3</v>
      </c>
      <c r="H467" s="2">
        <f t="shared" si="28"/>
        <v>18</v>
      </c>
      <c r="I467" s="2">
        <f t="shared" si="29"/>
        <v>39006</v>
      </c>
      <c r="J467" s="16">
        <f t="shared" si="30"/>
        <v>1950.3000000000002</v>
      </c>
      <c r="K467" s="2">
        <f t="shared" si="31"/>
        <v>37055.699999999997</v>
      </c>
    </row>
    <row r="468" spans="1:11" ht="16.5" x14ac:dyDescent="0.3">
      <c r="A468" s="4">
        <v>43009</v>
      </c>
      <c r="B468" s="2" t="s">
        <v>11</v>
      </c>
      <c r="C468" s="2" t="s">
        <v>15</v>
      </c>
      <c r="D468" s="2" t="s">
        <v>26</v>
      </c>
      <c r="E468" s="16" t="s">
        <v>21</v>
      </c>
      <c r="F468" s="2">
        <v>241</v>
      </c>
      <c r="G468" s="2">
        <v>2</v>
      </c>
      <c r="H468" s="2">
        <f t="shared" si="28"/>
        <v>5</v>
      </c>
      <c r="I468" s="2">
        <f t="shared" si="29"/>
        <v>1205</v>
      </c>
      <c r="J468" s="16">
        <f t="shared" si="30"/>
        <v>60.25</v>
      </c>
      <c r="K468" s="2">
        <f t="shared" si="31"/>
        <v>1144.75</v>
      </c>
    </row>
    <row r="469" spans="1:11" ht="16.5" x14ac:dyDescent="0.3">
      <c r="A469" s="4">
        <v>42736</v>
      </c>
      <c r="B469" s="2" t="s">
        <v>11</v>
      </c>
      <c r="C469" s="2" t="s">
        <v>15</v>
      </c>
      <c r="D469" s="2" t="s">
        <v>30</v>
      </c>
      <c r="E469" s="16" t="s">
        <v>21</v>
      </c>
      <c r="F469" s="2">
        <v>681</v>
      </c>
      <c r="G469" s="2">
        <v>6</v>
      </c>
      <c r="H469" s="2">
        <f t="shared" si="28"/>
        <v>9</v>
      </c>
      <c r="I469" s="2">
        <f t="shared" si="29"/>
        <v>6129</v>
      </c>
      <c r="J469" s="16">
        <f t="shared" si="30"/>
        <v>306.45</v>
      </c>
      <c r="K469" s="2">
        <f t="shared" si="31"/>
        <v>5822.55</v>
      </c>
    </row>
    <row r="470" spans="1:11" ht="16.5" x14ac:dyDescent="0.3">
      <c r="A470" s="4">
        <v>42826</v>
      </c>
      <c r="B470" s="2" t="s">
        <v>31</v>
      </c>
      <c r="C470" s="2" t="s">
        <v>15</v>
      </c>
      <c r="D470" s="2" t="s">
        <v>20</v>
      </c>
      <c r="E470" s="16" t="s">
        <v>21</v>
      </c>
      <c r="F470" s="2">
        <v>510</v>
      </c>
      <c r="G470" s="2">
        <v>5</v>
      </c>
      <c r="H470" s="2">
        <f t="shared" si="28"/>
        <v>8</v>
      </c>
      <c r="I470" s="2">
        <f t="shared" si="29"/>
        <v>4080</v>
      </c>
      <c r="J470" s="16">
        <f t="shared" si="30"/>
        <v>204</v>
      </c>
      <c r="K470" s="2">
        <f t="shared" si="31"/>
        <v>3876</v>
      </c>
    </row>
    <row r="471" spans="1:11" ht="16.5" x14ac:dyDescent="0.3">
      <c r="A471" s="4">
        <v>42856</v>
      </c>
      <c r="B471" s="2" t="s">
        <v>37</v>
      </c>
      <c r="C471" s="2" t="s">
        <v>34</v>
      </c>
      <c r="D471" s="2" t="s">
        <v>22</v>
      </c>
      <c r="E471" s="16" t="s">
        <v>21</v>
      </c>
      <c r="F471" s="2">
        <v>790</v>
      </c>
      <c r="G471" s="2">
        <v>3</v>
      </c>
      <c r="H471" s="2">
        <f t="shared" si="28"/>
        <v>6</v>
      </c>
      <c r="I471" s="2">
        <f t="shared" si="29"/>
        <v>4740</v>
      </c>
      <c r="J471" s="16">
        <f t="shared" si="30"/>
        <v>237</v>
      </c>
      <c r="K471" s="2">
        <f t="shared" si="31"/>
        <v>4503</v>
      </c>
    </row>
    <row r="472" spans="1:11" ht="16.5" x14ac:dyDescent="0.3">
      <c r="A472" s="4">
        <v>42917</v>
      </c>
      <c r="B472" s="2" t="s">
        <v>31</v>
      </c>
      <c r="C472" s="2" t="s">
        <v>19</v>
      </c>
      <c r="D472" s="2" t="s">
        <v>36</v>
      </c>
      <c r="E472" s="16" t="s">
        <v>24</v>
      </c>
      <c r="F472" s="2">
        <v>639</v>
      </c>
      <c r="G472" s="2">
        <v>10</v>
      </c>
      <c r="H472" s="2">
        <f t="shared" si="28"/>
        <v>20</v>
      </c>
      <c r="I472" s="2">
        <f t="shared" si="29"/>
        <v>12780</v>
      </c>
      <c r="J472" s="16">
        <f t="shared" si="30"/>
        <v>639</v>
      </c>
      <c r="K472" s="2">
        <f t="shared" si="31"/>
        <v>12141</v>
      </c>
    </row>
    <row r="473" spans="1:11" ht="16.5" x14ac:dyDescent="0.3">
      <c r="A473" s="4">
        <v>42979</v>
      </c>
      <c r="B473" s="2" t="s">
        <v>25</v>
      </c>
      <c r="C473" s="2" t="s">
        <v>34</v>
      </c>
      <c r="D473" s="2" t="s">
        <v>20</v>
      </c>
      <c r="E473" s="16" t="s">
        <v>14</v>
      </c>
      <c r="F473" s="2">
        <v>1596</v>
      </c>
      <c r="G473" s="2">
        <v>5</v>
      </c>
      <c r="H473" s="2">
        <f t="shared" si="28"/>
        <v>25</v>
      </c>
      <c r="I473" s="2">
        <f t="shared" si="29"/>
        <v>39900</v>
      </c>
      <c r="J473" s="16">
        <f t="shared" si="30"/>
        <v>1995</v>
      </c>
      <c r="K473" s="2">
        <f t="shared" si="31"/>
        <v>37905</v>
      </c>
    </row>
    <row r="474" spans="1:11" ht="16.5" x14ac:dyDescent="0.3">
      <c r="A474" s="4">
        <v>43009</v>
      </c>
      <c r="B474" s="2" t="s">
        <v>11</v>
      </c>
      <c r="C474" s="2" t="s">
        <v>34</v>
      </c>
      <c r="D474" s="2" t="s">
        <v>26</v>
      </c>
      <c r="E474" s="16" t="s">
        <v>14</v>
      </c>
      <c r="F474" s="2">
        <v>2294</v>
      </c>
      <c r="G474" s="2">
        <v>2</v>
      </c>
      <c r="H474" s="2">
        <f t="shared" si="28"/>
        <v>22</v>
      </c>
      <c r="I474" s="2">
        <f t="shared" si="29"/>
        <v>50468</v>
      </c>
      <c r="J474" s="16">
        <f t="shared" si="30"/>
        <v>2523.4</v>
      </c>
      <c r="K474" s="2">
        <f t="shared" si="31"/>
        <v>47944.6</v>
      </c>
    </row>
    <row r="475" spans="1:11" ht="16.5" x14ac:dyDescent="0.3">
      <c r="A475" s="4">
        <v>43009</v>
      </c>
      <c r="B475" s="2" t="s">
        <v>11</v>
      </c>
      <c r="C475" s="2" t="s">
        <v>15</v>
      </c>
      <c r="D475" s="2" t="s">
        <v>29</v>
      </c>
      <c r="E475" s="16" t="s">
        <v>21</v>
      </c>
      <c r="F475" s="2">
        <v>241</v>
      </c>
      <c r="G475" s="2">
        <v>40</v>
      </c>
      <c r="H475" s="2">
        <f t="shared" si="28"/>
        <v>43</v>
      </c>
      <c r="I475" s="2">
        <f t="shared" si="29"/>
        <v>10363</v>
      </c>
      <c r="J475" s="16">
        <f t="shared" si="30"/>
        <v>518.15</v>
      </c>
      <c r="K475" s="2">
        <f t="shared" si="31"/>
        <v>9844.85</v>
      </c>
    </row>
    <row r="476" spans="1:11" ht="16.5" x14ac:dyDescent="0.3">
      <c r="A476" s="4">
        <v>43040</v>
      </c>
      <c r="B476" s="2" t="s">
        <v>27</v>
      </c>
      <c r="C476" s="2" t="s">
        <v>15</v>
      </c>
      <c r="D476" s="2" t="s">
        <v>13</v>
      </c>
      <c r="E476" s="16" t="s">
        <v>21</v>
      </c>
      <c r="F476" s="2">
        <v>2665</v>
      </c>
      <c r="G476" s="2">
        <v>30</v>
      </c>
      <c r="H476" s="2">
        <f t="shared" si="28"/>
        <v>33</v>
      </c>
      <c r="I476" s="2">
        <f t="shared" si="29"/>
        <v>87945</v>
      </c>
      <c r="J476" s="16">
        <f t="shared" si="30"/>
        <v>10553.4</v>
      </c>
      <c r="K476" s="2">
        <f t="shared" si="31"/>
        <v>77391.600000000006</v>
      </c>
    </row>
    <row r="477" spans="1:11" ht="16.5" x14ac:dyDescent="0.3">
      <c r="A477" s="4">
        <v>43070</v>
      </c>
      <c r="B477" s="2" t="s">
        <v>25</v>
      </c>
      <c r="C477" s="2" t="s">
        <v>12</v>
      </c>
      <c r="D477" s="2" t="s">
        <v>30</v>
      </c>
      <c r="E477" s="16" t="s">
        <v>17</v>
      </c>
      <c r="F477" s="2">
        <v>1916</v>
      </c>
      <c r="G477" s="2">
        <v>6</v>
      </c>
      <c r="H477" s="2">
        <f t="shared" si="28"/>
        <v>21</v>
      </c>
      <c r="I477" s="2">
        <f t="shared" si="29"/>
        <v>40236</v>
      </c>
      <c r="J477" s="16">
        <f t="shared" si="30"/>
        <v>2011.8000000000002</v>
      </c>
      <c r="K477" s="2">
        <f t="shared" si="31"/>
        <v>38224.199999999997</v>
      </c>
    </row>
    <row r="478" spans="1:11" ht="16.5" x14ac:dyDescent="0.3">
      <c r="A478" s="4">
        <v>43070</v>
      </c>
      <c r="B478" s="2" t="s">
        <v>25</v>
      </c>
      <c r="C478" s="2" t="s">
        <v>19</v>
      </c>
      <c r="D478" s="2" t="s">
        <v>20</v>
      </c>
      <c r="E478" s="16" t="s">
        <v>17</v>
      </c>
      <c r="F478" s="2">
        <v>853</v>
      </c>
      <c r="G478" s="2">
        <v>5</v>
      </c>
      <c r="H478" s="2">
        <f t="shared" si="28"/>
        <v>20</v>
      </c>
      <c r="I478" s="2">
        <f t="shared" si="29"/>
        <v>17060</v>
      </c>
      <c r="J478" s="16">
        <f t="shared" si="30"/>
        <v>853</v>
      </c>
      <c r="K478" s="2">
        <f t="shared" si="31"/>
        <v>16207</v>
      </c>
    </row>
    <row r="479" spans="1:11" ht="16.5" x14ac:dyDescent="0.3">
      <c r="A479" s="4">
        <v>42856</v>
      </c>
      <c r="B479" s="2" t="s">
        <v>37</v>
      </c>
      <c r="C479" s="2" t="s">
        <v>23</v>
      </c>
      <c r="D479" s="2" t="s">
        <v>29</v>
      </c>
      <c r="E479" s="16" t="s">
        <v>21</v>
      </c>
      <c r="F479" s="2">
        <v>341</v>
      </c>
      <c r="G479" s="2">
        <v>40</v>
      </c>
      <c r="H479" s="2">
        <f t="shared" si="28"/>
        <v>43</v>
      </c>
      <c r="I479" s="2">
        <f t="shared" si="29"/>
        <v>14663</v>
      </c>
      <c r="J479" s="16">
        <f t="shared" si="30"/>
        <v>733.15000000000009</v>
      </c>
      <c r="K479" s="2">
        <f t="shared" si="31"/>
        <v>13929.85</v>
      </c>
    </row>
    <row r="480" spans="1:11" ht="16.5" x14ac:dyDescent="0.3">
      <c r="A480" s="4">
        <v>42917</v>
      </c>
      <c r="B480" s="2" t="s">
        <v>31</v>
      </c>
      <c r="C480" s="2" t="s">
        <v>23</v>
      </c>
      <c r="D480" s="2" t="s">
        <v>30</v>
      </c>
      <c r="E480" s="16" t="s">
        <v>21</v>
      </c>
      <c r="F480" s="2">
        <v>641</v>
      </c>
      <c r="G480" s="2">
        <v>6</v>
      </c>
      <c r="H480" s="2">
        <f t="shared" si="28"/>
        <v>9</v>
      </c>
      <c r="I480" s="2">
        <f t="shared" si="29"/>
        <v>5769</v>
      </c>
      <c r="J480" s="16">
        <f t="shared" si="30"/>
        <v>288.45</v>
      </c>
      <c r="K480" s="2">
        <f t="shared" si="31"/>
        <v>5480.55</v>
      </c>
    </row>
    <row r="481" spans="1:11" ht="16.5" x14ac:dyDescent="0.3">
      <c r="A481" s="4">
        <v>42948</v>
      </c>
      <c r="B481" s="2" t="s">
        <v>32</v>
      </c>
      <c r="C481" s="2" t="s">
        <v>34</v>
      </c>
      <c r="D481" s="2" t="s">
        <v>30</v>
      </c>
      <c r="E481" s="16" t="s">
        <v>21</v>
      </c>
      <c r="F481" s="2">
        <v>2807</v>
      </c>
      <c r="G481" s="2">
        <v>6</v>
      </c>
      <c r="H481" s="2">
        <f t="shared" si="28"/>
        <v>9</v>
      </c>
      <c r="I481" s="2">
        <f t="shared" si="29"/>
        <v>25263</v>
      </c>
      <c r="J481" s="16">
        <f t="shared" si="30"/>
        <v>1263.1500000000001</v>
      </c>
      <c r="K481" s="2">
        <f t="shared" si="31"/>
        <v>23999.85</v>
      </c>
    </row>
    <row r="482" spans="1:11" ht="16.5" x14ac:dyDescent="0.3">
      <c r="A482" s="4">
        <v>42979</v>
      </c>
      <c r="B482" s="2" t="s">
        <v>25</v>
      </c>
      <c r="C482" s="2" t="s">
        <v>23</v>
      </c>
      <c r="D482" s="2" t="s">
        <v>28</v>
      </c>
      <c r="E482" s="16" t="s">
        <v>24</v>
      </c>
      <c r="F482" s="2">
        <v>432</v>
      </c>
      <c r="G482" s="2">
        <v>120</v>
      </c>
      <c r="H482" s="2">
        <f t="shared" si="28"/>
        <v>130</v>
      </c>
      <c r="I482" s="2">
        <f t="shared" si="29"/>
        <v>56160</v>
      </c>
      <c r="J482" s="16">
        <f t="shared" si="30"/>
        <v>2808</v>
      </c>
      <c r="K482" s="2">
        <f t="shared" si="31"/>
        <v>53352</v>
      </c>
    </row>
    <row r="483" spans="1:11" ht="16.5" x14ac:dyDescent="0.3">
      <c r="A483" s="4">
        <v>43009</v>
      </c>
      <c r="B483" s="2" t="s">
        <v>11</v>
      </c>
      <c r="C483" s="2" t="s">
        <v>34</v>
      </c>
      <c r="D483" s="2" t="s">
        <v>35</v>
      </c>
      <c r="E483" s="16" t="s">
        <v>14</v>
      </c>
      <c r="F483" s="2">
        <v>2294</v>
      </c>
      <c r="G483" s="2">
        <v>25</v>
      </c>
      <c r="H483" s="2">
        <f t="shared" si="28"/>
        <v>45</v>
      </c>
      <c r="I483" s="2">
        <f t="shared" si="29"/>
        <v>103230</v>
      </c>
      <c r="J483" s="16">
        <f t="shared" si="30"/>
        <v>5161.5</v>
      </c>
      <c r="K483" s="2">
        <f t="shared" si="31"/>
        <v>98068.5</v>
      </c>
    </row>
    <row r="484" spans="1:11" ht="16.5" x14ac:dyDescent="0.3">
      <c r="A484" s="4">
        <v>43009</v>
      </c>
      <c r="B484" s="2" t="s">
        <v>11</v>
      </c>
      <c r="C484" s="2" t="s">
        <v>19</v>
      </c>
      <c r="D484" s="2" t="s">
        <v>16</v>
      </c>
      <c r="E484" s="16" t="s">
        <v>14</v>
      </c>
      <c r="F484" s="2">
        <v>2167</v>
      </c>
      <c r="G484" s="2">
        <v>4</v>
      </c>
      <c r="H484" s="2">
        <f t="shared" si="28"/>
        <v>24</v>
      </c>
      <c r="I484" s="2">
        <f t="shared" si="29"/>
        <v>52008</v>
      </c>
      <c r="J484" s="16">
        <f t="shared" si="30"/>
        <v>2600.4</v>
      </c>
      <c r="K484" s="2">
        <f t="shared" si="31"/>
        <v>49407.6</v>
      </c>
    </row>
    <row r="485" spans="1:11" ht="16.5" x14ac:dyDescent="0.3">
      <c r="A485" s="4">
        <v>43040</v>
      </c>
      <c r="B485" s="2" t="s">
        <v>27</v>
      </c>
      <c r="C485" s="2" t="s">
        <v>12</v>
      </c>
      <c r="D485" s="2" t="s">
        <v>13</v>
      </c>
      <c r="E485" s="16" t="s">
        <v>21</v>
      </c>
      <c r="F485" s="2">
        <v>2529</v>
      </c>
      <c r="G485" s="2">
        <v>30</v>
      </c>
      <c r="H485" s="2">
        <f t="shared" si="28"/>
        <v>33</v>
      </c>
      <c r="I485" s="2">
        <f t="shared" si="29"/>
        <v>83457</v>
      </c>
      <c r="J485" s="16">
        <f t="shared" si="30"/>
        <v>10014.84</v>
      </c>
      <c r="K485" s="2">
        <f t="shared" si="31"/>
        <v>73442.16</v>
      </c>
    </row>
    <row r="486" spans="1:11" ht="16.5" x14ac:dyDescent="0.3">
      <c r="A486" s="4">
        <v>43070</v>
      </c>
      <c r="B486" s="2" t="s">
        <v>25</v>
      </c>
      <c r="C486" s="2" t="s">
        <v>15</v>
      </c>
      <c r="D486" s="2" t="s">
        <v>33</v>
      </c>
      <c r="E486" s="16" t="s">
        <v>21</v>
      </c>
      <c r="F486" s="2">
        <v>1870</v>
      </c>
      <c r="G486" s="2">
        <v>20</v>
      </c>
      <c r="H486" s="2">
        <f t="shared" si="28"/>
        <v>23</v>
      </c>
      <c r="I486" s="2">
        <f t="shared" si="29"/>
        <v>43010</v>
      </c>
      <c r="J486" s="16">
        <f t="shared" si="30"/>
        <v>2150.5</v>
      </c>
      <c r="K486" s="2">
        <f t="shared" si="31"/>
        <v>40859.5</v>
      </c>
    </row>
    <row r="487" spans="1:11" ht="16.5" x14ac:dyDescent="0.3">
      <c r="A487" s="4">
        <v>42736</v>
      </c>
      <c r="B487" s="2" t="s">
        <v>11</v>
      </c>
      <c r="C487" s="2" t="s">
        <v>34</v>
      </c>
      <c r="D487" s="2" t="s">
        <v>28</v>
      </c>
      <c r="E487" s="16" t="s">
        <v>17</v>
      </c>
      <c r="F487" s="2">
        <v>579</v>
      </c>
      <c r="G487" s="2">
        <v>120</v>
      </c>
      <c r="H487" s="2">
        <f t="shared" si="28"/>
        <v>135</v>
      </c>
      <c r="I487" s="2">
        <f t="shared" si="29"/>
        <v>78165</v>
      </c>
      <c r="J487" s="16">
        <f t="shared" si="30"/>
        <v>3908.25</v>
      </c>
      <c r="K487" s="2">
        <f t="shared" si="31"/>
        <v>74256.75</v>
      </c>
    </row>
    <row r="488" spans="1:11" ht="16.5" x14ac:dyDescent="0.3">
      <c r="A488" s="4">
        <v>42767</v>
      </c>
      <c r="B488" s="2" t="s">
        <v>27</v>
      </c>
      <c r="C488" s="2" t="s">
        <v>12</v>
      </c>
      <c r="D488" s="2" t="s">
        <v>13</v>
      </c>
      <c r="E488" s="16" t="s">
        <v>17</v>
      </c>
      <c r="F488" s="2">
        <v>2240</v>
      </c>
      <c r="G488" s="2">
        <v>30</v>
      </c>
      <c r="H488" s="2">
        <f t="shared" si="28"/>
        <v>45</v>
      </c>
      <c r="I488" s="2">
        <f t="shared" si="29"/>
        <v>100800</v>
      </c>
      <c r="J488" s="16">
        <f t="shared" si="30"/>
        <v>5040</v>
      </c>
      <c r="K488" s="2">
        <f t="shared" si="31"/>
        <v>95760</v>
      </c>
    </row>
    <row r="489" spans="1:11" ht="16.5" x14ac:dyDescent="0.3">
      <c r="A489" s="4">
        <v>42795</v>
      </c>
      <c r="B489" s="2" t="s">
        <v>27</v>
      </c>
      <c r="C489" s="2" t="s">
        <v>34</v>
      </c>
      <c r="D489" s="2" t="s">
        <v>35</v>
      </c>
      <c r="E489" s="16" t="s">
        <v>21</v>
      </c>
      <c r="F489" s="2">
        <v>2993</v>
      </c>
      <c r="G489" s="2">
        <v>25</v>
      </c>
      <c r="H489" s="2">
        <f t="shared" si="28"/>
        <v>28</v>
      </c>
      <c r="I489" s="2">
        <f t="shared" si="29"/>
        <v>83804</v>
      </c>
      <c r="J489" s="16">
        <f t="shared" si="30"/>
        <v>4190.2</v>
      </c>
      <c r="K489" s="2">
        <f t="shared" si="31"/>
        <v>79613.8</v>
      </c>
    </row>
    <row r="490" spans="1:11" ht="16.5" x14ac:dyDescent="0.3">
      <c r="A490" s="4">
        <v>42826</v>
      </c>
      <c r="B490" s="2" t="s">
        <v>31</v>
      </c>
      <c r="C490" s="2" t="s">
        <v>12</v>
      </c>
      <c r="D490" s="2" t="s">
        <v>33</v>
      </c>
      <c r="E490" s="16" t="s">
        <v>21</v>
      </c>
      <c r="F490" s="2">
        <v>3520.5</v>
      </c>
      <c r="G490" s="2">
        <v>20</v>
      </c>
      <c r="H490" s="2">
        <f t="shared" si="28"/>
        <v>23</v>
      </c>
      <c r="I490" s="2">
        <f t="shared" si="29"/>
        <v>80971.5</v>
      </c>
      <c r="J490" s="16">
        <f t="shared" si="30"/>
        <v>4048.5750000000003</v>
      </c>
      <c r="K490" s="2">
        <f t="shared" si="31"/>
        <v>76922.925000000003</v>
      </c>
    </row>
    <row r="491" spans="1:11" ht="16.5" x14ac:dyDescent="0.3">
      <c r="A491" s="4">
        <v>42856</v>
      </c>
      <c r="B491" s="2" t="s">
        <v>37</v>
      </c>
      <c r="C491" s="2" t="s">
        <v>23</v>
      </c>
      <c r="D491" s="2" t="s">
        <v>16</v>
      </c>
      <c r="E491" s="16" t="s">
        <v>21</v>
      </c>
      <c r="F491" s="2">
        <v>2039</v>
      </c>
      <c r="G491" s="2">
        <v>4</v>
      </c>
      <c r="H491" s="2">
        <f t="shared" si="28"/>
        <v>7</v>
      </c>
      <c r="I491" s="2">
        <f t="shared" si="29"/>
        <v>14273</v>
      </c>
      <c r="J491" s="16">
        <f t="shared" si="30"/>
        <v>713.65000000000009</v>
      </c>
      <c r="K491" s="2">
        <f t="shared" si="31"/>
        <v>13559.35</v>
      </c>
    </row>
    <row r="492" spans="1:11" ht="16.5" x14ac:dyDescent="0.3">
      <c r="A492" s="4">
        <v>42948</v>
      </c>
      <c r="B492" s="2" t="s">
        <v>32</v>
      </c>
      <c r="C492" s="2" t="s">
        <v>15</v>
      </c>
      <c r="D492" s="2" t="s">
        <v>26</v>
      </c>
      <c r="E492" s="16" t="s">
        <v>21</v>
      </c>
      <c r="F492" s="2">
        <v>2574</v>
      </c>
      <c r="G492" s="2">
        <v>2</v>
      </c>
      <c r="H492" s="2">
        <f t="shared" si="28"/>
        <v>5</v>
      </c>
      <c r="I492" s="2">
        <f t="shared" si="29"/>
        <v>12870</v>
      </c>
      <c r="J492" s="16">
        <f t="shared" si="30"/>
        <v>643.5</v>
      </c>
      <c r="K492" s="2">
        <f t="shared" si="31"/>
        <v>12226.5</v>
      </c>
    </row>
    <row r="493" spans="1:11" ht="16.5" x14ac:dyDescent="0.3">
      <c r="A493" s="4">
        <v>42979</v>
      </c>
      <c r="B493" s="2" t="s">
        <v>25</v>
      </c>
      <c r="C493" s="2" t="s">
        <v>12</v>
      </c>
      <c r="D493" s="2" t="s">
        <v>20</v>
      </c>
      <c r="E493" s="16" t="s">
        <v>24</v>
      </c>
      <c r="F493" s="2">
        <v>707</v>
      </c>
      <c r="G493" s="2">
        <v>5</v>
      </c>
      <c r="H493" s="2">
        <f t="shared" si="28"/>
        <v>15</v>
      </c>
      <c r="I493" s="2">
        <f t="shared" si="29"/>
        <v>10605</v>
      </c>
      <c r="J493" s="16">
        <f t="shared" si="30"/>
        <v>530.25</v>
      </c>
      <c r="K493" s="2">
        <f t="shared" si="31"/>
        <v>10074.75</v>
      </c>
    </row>
    <row r="494" spans="1:11" ht="16.5" x14ac:dyDescent="0.3">
      <c r="A494" s="4">
        <v>43070</v>
      </c>
      <c r="B494" s="2" t="s">
        <v>25</v>
      </c>
      <c r="C494" s="2" t="s">
        <v>19</v>
      </c>
      <c r="D494" s="2" t="s">
        <v>29</v>
      </c>
      <c r="E494" s="16" t="s">
        <v>14</v>
      </c>
      <c r="F494" s="2">
        <v>2072</v>
      </c>
      <c r="G494" s="2">
        <v>40</v>
      </c>
      <c r="H494" s="2">
        <f t="shared" si="28"/>
        <v>60</v>
      </c>
      <c r="I494" s="2">
        <f t="shared" si="29"/>
        <v>124320</v>
      </c>
      <c r="J494" s="16">
        <f t="shared" si="30"/>
        <v>6216</v>
      </c>
      <c r="K494" s="2">
        <f t="shared" si="31"/>
        <v>118104</v>
      </c>
    </row>
    <row r="495" spans="1:11" ht="16.5" x14ac:dyDescent="0.3">
      <c r="A495" s="4">
        <v>43070</v>
      </c>
      <c r="B495" s="2" t="s">
        <v>25</v>
      </c>
      <c r="C495" s="2" t="s">
        <v>19</v>
      </c>
      <c r="D495" s="2" t="s">
        <v>29</v>
      </c>
      <c r="E495" s="16" t="s">
        <v>14</v>
      </c>
      <c r="F495" s="2">
        <v>853</v>
      </c>
      <c r="G495" s="2">
        <v>40</v>
      </c>
      <c r="H495" s="2">
        <f t="shared" si="28"/>
        <v>60</v>
      </c>
      <c r="I495" s="2">
        <f t="shared" si="29"/>
        <v>51180</v>
      </c>
      <c r="J495" s="16">
        <f t="shared" si="30"/>
        <v>2559</v>
      </c>
      <c r="K495" s="2">
        <f t="shared" si="31"/>
        <v>48621</v>
      </c>
    </row>
    <row r="496" spans="1:11" ht="16.5" x14ac:dyDescent="0.3">
      <c r="A496" s="4">
        <v>43009</v>
      </c>
      <c r="B496" s="2" t="s">
        <v>11</v>
      </c>
      <c r="C496" s="2" t="s">
        <v>19</v>
      </c>
      <c r="D496" s="2" t="s">
        <v>22</v>
      </c>
      <c r="E496" s="16" t="s">
        <v>21</v>
      </c>
      <c r="F496" s="2">
        <v>1198</v>
      </c>
      <c r="G496" s="2">
        <v>3</v>
      </c>
      <c r="H496" s="2">
        <f t="shared" si="28"/>
        <v>6</v>
      </c>
      <c r="I496" s="2">
        <f t="shared" si="29"/>
        <v>7188</v>
      </c>
      <c r="J496" s="16">
        <f t="shared" si="30"/>
        <v>359.40000000000003</v>
      </c>
      <c r="K496" s="2">
        <f t="shared" si="31"/>
        <v>6828.6</v>
      </c>
    </row>
    <row r="497" spans="1:11" ht="16.5" x14ac:dyDescent="0.3">
      <c r="A497" s="4">
        <v>42826</v>
      </c>
      <c r="B497" s="2" t="s">
        <v>31</v>
      </c>
      <c r="C497" s="2" t="s">
        <v>19</v>
      </c>
      <c r="D497" s="2" t="s">
        <v>30</v>
      </c>
      <c r="E497" s="16" t="s">
        <v>21</v>
      </c>
      <c r="F497" s="2">
        <v>2532</v>
      </c>
      <c r="G497" s="2">
        <v>6</v>
      </c>
      <c r="H497" s="2">
        <f t="shared" si="28"/>
        <v>9</v>
      </c>
      <c r="I497" s="2">
        <f t="shared" si="29"/>
        <v>22788</v>
      </c>
      <c r="J497" s="16">
        <f t="shared" si="30"/>
        <v>1139.4000000000001</v>
      </c>
      <c r="K497" s="2">
        <f t="shared" si="31"/>
        <v>21648.6</v>
      </c>
    </row>
    <row r="498" spans="1:11" ht="16.5" x14ac:dyDescent="0.3">
      <c r="A498" s="4">
        <v>43009</v>
      </c>
      <c r="B498" s="2" t="s">
        <v>11</v>
      </c>
      <c r="C498" s="2" t="s">
        <v>19</v>
      </c>
      <c r="D498" s="2" t="s">
        <v>30</v>
      </c>
      <c r="E498" s="16" t="s">
        <v>17</v>
      </c>
      <c r="F498" s="2">
        <v>1198</v>
      </c>
      <c r="G498" s="2">
        <v>6</v>
      </c>
      <c r="H498" s="2">
        <f t="shared" si="28"/>
        <v>21</v>
      </c>
      <c r="I498" s="2">
        <f t="shared" si="29"/>
        <v>25158</v>
      </c>
      <c r="J498" s="16">
        <f t="shared" si="30"/>
        <v>1257.9000000000001</v>
      </c>
      <c r="K498" s="2">
        <f t="shared" si="31"/>
        <v>23900.1</v>
      </c>
    </row>
    <row r="499" spans="1:11" ht="16.5" x14ac:dyDescent="0.3">
      <c r="A499" s="4">
        <v>42736</v>
      </c>
      <c r="B499" s="2" t="s">
        <v>11</v>
      </c>
      <c r="C499" s="2" t="s">
        <v>12</v>
      </c>
      <c r="D499" s="2" t="s">
        <v>30</v>
      </c>
      <c r="E499" s="16" t="s">
        <v>17</v>
      </c>
      <c r="F499" s="2">
        <v>384</v>
      </c>
      <c r="G499" s="2">
        <v>6</v>
      </c>
      <c r="H499" s="2">
        <f t="shared" si="28"/>
        <v>21</v>
      </c>
      <c r="I499" s="2">
        <f t="shared" si="29"/>
        <v>8064</v>
      </c>
      <c r="J499" s="16">
        <f t="shared" si="30"/>
        <v>403.20000000000005</v>
      </c>
      <c r="K499" s="2">
        <f t="shared" si="31"/>
        <v>7660.8</v>
      </c>
    </row>
    <row r="500" spans="1:11" ht="16.5" x14ac:dyDescent="0.3">
      <c r="A500" s="4">
        <v>43009</v>
      </c>
      <c r="B500" s="2" t="s">
        <v>11</v>
      </c>
      <c r="C500" s="2" t="s">
        <v>15</v>
      </c>
      <c r="D500" s="2" t="s">
        <v>28</v>
      </c>
      <c r="E500" s="16" t="s">
        <v>21</v>
      </c>
      <c r="F500" s="2">
        <v>472</v>
      </c>
      <c r="G500" s="2">
        <v>120</v>
      </c>
      <c r="H500" s="2">
        <f t="shared" si="28"/>
        <v>123</v>
      </c>
      <c r="I500" s="2">
        <f t="shared" si="29"/>
        <v>58056</v>
      </c>
      <c r="J500" s="16">
        <f t="shared" si="30"/>
        <v>2902.8</v>
      </c>
      <c r="K500" s="2">
        <f t="shared" si="31"/>
        <v>55153.2</v>
      </c>
    </row>
    <row r="501" spans="1:11" ht="16.5" x14ac:dyDescent="0.3">
      <c r="A501" s="4">
        <v>42795</v>
      </c>
      <c r="B501" s="2" t="s">
        <v>27</v>
      </c>
      <c r="C501" s="2" t="s">
        <v>34</v>
      </c>
      <c r="D501" s="2" t="s">
        <v>26</v>
      </c>
      <c r="E501" s="16" t="s">
        <v>21</v>
      </c>
      <c r="F501" s="2">
        <v>1579</v>
      </c>
      <c r="G501" s="2">
        <v>2</v>
      </c>
      <c r="H501" s="2">
        <f t="shared" si="28"/>
        <v>5</v>
      </c>
      <c r="I501" s="2">
        <f t="shared" si="29"/>
        <v>7895</v>
      </c>
      <c r="J501" s="16">
        <f t="shared" si="30"/>
        <v>394.75</v>
      </c>
      <c r="K501" s="2">
        <f t="shared" si="31"/>
        <v>7500.25</v>
      </c>
    </row>
    <row r="502" spans="1:11" ht="16.5" x14ac:dyDescent="0.3">
      <c r="A502" s="4">
        <v>42979</v>
      </c>
      <c r="B502" s="2" t="s">
        <v>25</v>
      </c>
      <c r="C502" s="2" t="s">
        <v>23</v>
      </c>
      <c r="D502" s="2" t="s">
        <v>22</v>
      </c>
      <c r="E502" s="16" t="s">
        <v>21</v>
      </c>
      <c r="F502" s="2">
        <v>1005</v>
      </c>
      <c r="G502" s="2">
        <v>3</v>
      </c>
      <c r="H502" s="2">
        <f t="shared" si="28"/>
        <v>6</v>
      </c>
      <c r="I502" s="2">
        <f t="shared" si="29"/>
        <v>6030</v>
      </c>
      <c r="J502" s="16">
        <f t="shared" si="30"/>
        <v>301.5</v>
      </c>
      <c r="K502" s="2">
        <f t="shared" si="31"/>
        <v>5728.5</v>
      </c>
    </row>
    <row r="503" spans="1:11" ht="16.5" x14ac:dyDescent="0.3">
      <c r="A503" s="4">
        <v>42917</v>
      </c>
      <c r="B503" s="2" t="s">
        <v>31</v>
      </c>
      <c r="C503" s="2" t="s">
        <v>34</v>
      </c>
      <c r="D503" s="2" t="s">
        <v>29</v>
      </c>
      <c r="E503" s="16" t="s">
        <v>24</v>
      </c>
      <c r="F503" s="2">
        <v>3199.5</v>
      </c>
      <c r="G503" s="2">
        <v>40</v>
      </c>
      <c r="H503" s="2">
        <f t="shared" si="28"/>
        <v>50</v>
      </c>
      <c r="I503" s="2">
        <f t="shared" si="29"/>
        <v>159975</v>
      </c>
      <c r="J503" s="16">
        <f t="shared" si="30"/>
        <v>7998.75</v>
      </c>
      <c r="K503" s="2">
        <f t="shared" si="31"/>
        <v>151976.25</v>
      </c>
    </row>
    <row r="504" spans="1:11" ht="16.5" x14ac:dyDescent="0.3">
      <c r="A504" s="4">
        <v>43009</v>
      </c>
      <c r="B504" s="2" t="s">
        <v>11</v>
      </c>
      <c r="C504" s="2" t="s">
        <v>15</v>
      </c>
      <c r="D504" s="2" t="s">
        <v>35</v>
      </c>
      <c r="E504" s="16" t="s">
        <v>14</v>
      </c>
      <c r="F504" s="2">
        <v>472</v>
      </c>
      <c r="G504" s="2">
        <v>25</v>
      </c>
      <c r="H504" s="2">
        <f t="shared" si="28"/>
        <v>45</v>
      </c>
      <c r="I504" s="2">
        <f t="shared" si="29"/>
        <v>21240</v>
      </c>
      <c r="J504" s="16">
        <f t="shared" si="30"/>
        <v>1062</v>
      </c>
      <c r="K504" s="2">
        <f t="shared" si="31"/>
        <v>20178</v>
      </c>
    </row>
    <row r="505" spans="1:11" ht="16.5" x14ac:dyDescent="0.3">
      <c r="A505" s="4">
        <v>42767</v>
      </c>
      <c r="B505" s="2" t="s">
        <v>27</v>
      </c>
      <c r="C505" s="2" t="s">
        <v>12</v>
      </c>
      <c r="D505" s="2" t="s">
        <v>36</v>
      </c>
      <c r="E505" s="16" t="s">
        <v>14</v>
      </c>
      <c r="F505" s="2">
        <v>1937</v>
      </c>
      <c r="G505" s="2">
        <v>10</v>
      </c>
      <c r="H505" s="2">
        <f t="shared" si="28"/>
        <v>30</v>
      </c>
      <c r="I505" s="2">
        <f t="shared" si="29"/>
        <v>58110</v>
      </c>
      <c r="J505" s="16">
        <f t="shared" si="30"/>
        <v>2905.5</v>
      </c>
      <c r="K505" s="2">
        <f t="shared" si="31"/>
        <v>55204.5</v>
      </c>
    </row>
    <row r="506" spans="1:11" ht="16.5" x14ac:dyDescent="0.3">
      <c r="A506" s="4">
        <v>42795</v>
      </c>
      <c r="B506" s="2" t="s">
        <v>27</v>
      </c>
      <c r="C506" s="2" t="s">
        <v>15</v>
      </c>
      <c r="D506" s="2" t="s">
        <v>13</v>
      </c>
      <c r="E506" s="16" t="s">
        <v>21</v>
      </c>
      <c r="F506" s="2">
        <v>792</v>
      </c>
      <c r="G506" s="2">
        <v>30</v>
      </c>
      <c r="H506" s="2">
        <f t="shared" si="28"/>
        <v>33</v>
      </c>
      <c r="I506" s="2">
        <f t="shared" si="29"/>
        <v>26136</v>
      </c>
      <c r="J506" s="16">
        <f t="shared" si="30"/>
        <v>1306.8000000000002</v>
      </c>
      <c r="K506" s="2">
        <f t="shared" si="31"/>
        <v>24829.200000000001</v>
      </c>
    </row>
    <row r="507" spans="1:11" ht="16.5" x14ac:dyDescent="0.3">
      <c r="A507" s="4">
        <v>42917</v>
      </c>
      <c r="B507" s="2" t="s">
        <v>31</v>
      </c>
      <c r="C507" s="2" t="s">
        <v>15</v>
      </c>
      <c r="D507" s="2" t="s">
        <v>20</v>
      </c>
      <c r="E507" s="16" t="s">
        <v>21</v>
      </c>
      <c r="F507" s="2">
        <v>2811</v>
      </c>
      <c r="G507" s="2">
        <v>5</v>
      </c>
      <c r="H507" s="2">
        <f t="shared" si="28"/>
        <v>8</v>
      </c>
      <c r="I507" s="2">
        <f t="shared" si="29"/>
        <v>22488</v>
      </c>
      <c r="J507" s="16">
        <f t="shared" si="30"/>
        <v>1124.4000000000001</v>
      </c>
      <c r="K507" s="2">
        <f t="shared" si="31"/>
        <v>21363.599999999999</v>
      </c>
    </row>
    <row r="508" spans="1:11" ht="16.5" x14ac:dyDescent="0.3">
      <c r="A508" s="4">
        <v>43009</v>
      </c>
      <c r="B508" s="2" t="s">
        <v>11</v>
      </c>
      <c r="C508" s="2" t="s">
        <v>19</v>
      </c>
      <c r="D508" s="2" t="s">
        <v>29</v>
      </c>
      <c r="E508" s="16" t="s">
        <v>17</v>
      </c>
      <c r="F508" s="2">
        <v>2441</v>
      </c>
      <c r="G508" s="2">
        <v>40</v>
      </c>
      <c r="H508" s="2">
        <f t="shared" si="28"/>
        <v>55</v>
      </c>
      <c r="I508" s="2">
        <f t="shared" si="29"/>
        <v>134255</v>
      </c>
      <c r="J508" s="16">
        <f t="shared" si="30"/>
        <v>6712.75</v>
      </c>
      <c r="K508" s="2">
        <f t="shared" si="31"/>
        <v>127542.25</v>
      </c>
    </row>
    <row r="509" spans="1:11" ht="16.5" x14ac:dyDescent="0.3">
      <c r="A509" s="4">
        <v>43040</v>
      </c>
      <c r="B509" s="2" t="s">
        <v>27</v>
      </c>
      <c r="C509" s="2" t="s">
        <v>12</v>
      </c>
      <c r="D509" s="2" t="s">
        <v>30</v>
      </c>
      <c r="E509" s="16" t="s">
        <v>17</v>
      </c>
      <c r="F509" s="2">
        <v>1560</v>
      </c>
      <c r="G509" s="2">
        <v>6</v>
      </c>
      <c r="H509" s="2">
        <f t="shared" si="28"/>
        <v>21</v>
      </c>
      <c r="I509" s="2">
        <f t="shared" si="29"/>
        <v>32760</v>
      </c>
      <c r="J509" s="16">
        <f t="shared" si="30"/>
        <v>1638</v>
      </c>
      <c r="K509" s="2">
        <f t="shared" si="31"/>
        <v>31122</v>
      </c>
    </row>
    <row r="510" spans="1:11" ht="16.5" x14ac:dyDescent="0.3">
      <c r="A510" s="4">
        <v>43040</v>
      </c>
      <c r="B510" s="2" t="s">
        <v>27</v>
      </c>
      <c r="C510" s="2" t="s">
        <v>23</v>
      </c>
      <c r="D510" s="2" t="s">
        <v>22</v>
      </c>
      <c r="E510" s="16" t="s">
        <v>21</v>
      </c>
      <c r="F510" s="2">
        <v>2706</v>
      </c>
      <c r="G510" s="2">
        <v>3</v>
      </c>
      <c r="H510" s="2">
        <f t="shared" si="28"/>
        <v>6</v>
      </c>
      <c r="I510" s="2">
        <f t="shared" si="29"/>
        <v>16236</v>
      </c>
      <c r="J510" s="16">
        <f t="shared" si="30"/>
        <v>811.80000000000007</v>
      </c>
      <c r="K510" s="2">
        <f t="shared" si="31"/>
        <v>15424.2</v>
      </c>
    </row>
    <row r="511" spans="1:11" ht="16.5" x14ac:dyDescent="0.3">
      <c r="A511" s="4">
        <v>42736</v>
      </c>
      <c r="B511" s="2" t="s">
        <v>11</v>
      </c>
      <c r="C511" s="2" t="s">
        <v>15</v>
      </c>
      <c r="D511" s="2" t="s">
        <v>16</v>
      </c>
      <c r="E511" s="16" t="s">
        <v>21</v>
      </c>
      <c r="F511" s="2">
        <v>766</v>
      </c>
      <c r="G511" s="2">
        <v>4</v>
      </c>
      <c r="H511" s="2">
        <f t="shared" si="28"/>
        <v>7</v>
      </c>
      <c r="I511" s="2">
        <f t="shared" si="29"/>
        <v>5362</v>
      </c>
      <c r="J511" s="16">
        <f t="shared" si="30"/>
        <v>268.10000000000002</v>
      </c>
      <c r="K511" s="2">
        <f t="shared" si="31"/>
        <v>5093.8999999999996</v>
      </c>
    </row>
    <row r="512" spans="1:11" ht="16.5" x14ac:dyDescent="0.3">
      <c r="A512" s="4">
        <v>43009</v>
      </c>
      <c r="B512" s="2" t="s">
        <v>11</v>
      </c>
      <c r="C512" s="2" t="s">
        <v>15</v>
      </c>
      <c r="D512" s="2" t="s">
        <v>16</v>
      </c>
      <c r="E512" s="16" t="s">
        <v>21</v>
      </c>
      <c r="F512" s="2">
        <v>2992</v>
      </c>
      <c r="G512" s="2">
        <v>4</v>
      </c>
      <c r="H512" s="2">
        <f t="shared" si="28"/>
        <v>7</v>
      </c>
      <c r="I512" s="2">
        <f t="shared" si="29"/>
        <v>20944</v>
      </c>
      <c r="J512" s="16">
        <f t="shared" si="30"/>
        <v>1047.2</v>
      </c>
      <c r="K512" s="2">
        <f t="shared" si="31"/>
        <v>19896.8</v>
      </c>
    </row>
    <row r="513" spans="1:11" ht="16.5" x14ac:dyDescent="0.3">
      <c r="A513" s="4">
        <v>43070</v>
      </c>
      <c r="B513" s="2" t="s">
        <v>25</v>
      </c>
      <c r="C513" s="2" t="s">
        <v>23</v>
      </c>
      <c r="D513" s="2" t="s">
        <v>30</v>
      </c>
      <c r="E513" s="16" t="s">
        <v>21</v>
      </c>
      <c r="F513" s="2">
        <v>2157</v>
      </c>
      <c r="G513" s="2">
        <v>6</v>
      </c>
      <c r="H513" s="2">
        <f t="shared" si="28"/>
        <v>9</v>
      </c>
      <c r="I513" s="2">
        <f t="shared" si="29"/>
        <v>19413</v>
      </c>
      <c r="J513" s="16">
        <f t="shared" si="30"/>
        <v>970.65000000000009</v>
      </c>
      <c r="K513" s="2">
        <f t="shared" si="31"/>
        <v>18442.349999999999</v>
      </c>
    </row>
    <row r="514" spans="1:11" ht="16.5" x14ac:dyDescent="0.3">
      <c r="A514" s="4">
        <v>42736</v>
      </c>
      <c r="B514" s="2" t="s">
        <v>11</v>
      </c>
      <c r="C514" s="2" t="s">
        <v>12</v>
      </c>
      <c r="D514" s="2" t="s">
        <v>26</v>
      </c>
      <c r="E514" s="16" t="s">
        <v>24</v>
      </c>
      <c r="F514" s="2">
        <v>873</v>
      </c>
      <c r="G514" s="2">
        <v>2</v>
      </c>
      <c r="H514" s="2">
        <f t="shared" si="28"/>
        <v>12</v>
      </c>
      <c r="I514" s="2">
        <f t="shared" si="29"/>
        <v>10476</v>
      </c>
      <c r="J514" s="16">
        <f t="shared" si="30"/>
        <v>523.80000000000007</v>
      </c>
      <c r="K514" s="2">
        <f t="shared" si="31"/>
        <v>9952.2000000000007</v>
      </c>
    </row>
    <row r="515" spans="1:11" ht="16.5" x14ac:dyDescent="0.3">
      <c r="A515" s="4">
        <v>42795</v>
      </c>
      <c r="B515" s="2" t="s">
        <v>27</v>
      </c>
      <c r="C515" s="2" t="s">
        <v>23</v>
      </c>
      <c r="D515" s="2" t="s">
        <v>29</v>
      </c>
      <c r="E515" s="16" t="s">
        <v>14</v>
      </c>
      <c r="F515" s="2">
        <v>1122</v>
      </c>
      <c r="G515" s="2">
        <v>40</v>
      </c>
      <c r="H515" s="2">
        <f t="shared" ref="H515:H578" si="32">IF(E515="High",G515+20,IF(E515="Medium",G515+15,IF(E515="Low",G515+10,G515+3)))</f>
        <v>60</v>
      </c>
      <c r="I515" s="2">
        <f t="shared" ref="I515:I578" si="33">F515*H515</f>
        <v>67320</v>
      </c>
      <c r="J515" s="16">
        <f t="shared" ref="J515:J578" si="34">IF(AND(D515="Note Book",F515&gt;2500),I515*12%,IF(AND(E515="Long Note Book",N515&lt;1800),I515*8%,I515*5%))</f>
        <v>3366</v>
      </c>
      <c r="K515" s="2">
        <f t="shared" ref="K515:K578" si="35">I515-J515</f>
        <v>63954</v>
      </c>
    </row>
    <row r="516" spans="1:11" ht="16.5" x14ac:dyDescent="0.3">
      <c r="A516" s="4">
        <v>42917</v>
      </c>
      <c r="B516" s="2" t="s">
        <v>31</v>
      </c>
      <c r="C516" s="2" t="s">
        <v>12</v>
      </c>
      <c r="D516" s="2" t="s">
        <v>16</v>
      </c>
      <c r="E516" s="16" t="s">
        <v>14</v>
      </c>
      <c r="F516" s="2">
        <v>2104.5</v>
      </c>
      <c r="G516" s="2">
        <v>4</v>
      </c>
      <c r="H516" s="2">
        <f t="shared" si="32"/>
        <v>24</v>
      </c>
      <c r="I516" s="2">
        <f t="shared" si="33"/>
        <v>50508</v>
      </c>
      <c r="J516" s="16">
        <f t="shared" si="34"/>
        <v>2525.4</v>
      </c>
      <c r="K516" s="2">
        <f t="shared" si="35"/>
        <v>47982.6</v>
      </c>
    </row>
    <row r="517" spans="1:11" ht="16.5" x14ac:dyDescent="0.3">
      <c r="A517" s="4">
        <v>42917</v>
      </c>
      <c r="B517" s="2" t="s">
        <v>31</v>
      </c>
      <c r="C517" s="2" t="s">
        <v>12</v>
      </c>
      <c r="D517" s="2" t="s">
        <v>20</v>
      </c>
      <c r="E517" s="16" t="s">
        <v>21</v>
      </c>
      <c r="F517" s="2">
        <v>4026</v>
      </c>
      <c r="G517" s="2">
        <v>5</v>
      </c>
      <c r="H517" s="2">
        <f t="shared" si="32"/>
        <v>8</v>
      </c>
      <c r="I517" s="2">
        <f t="shared" si="33"/>
        <v>32208</v>
      </c>
      <c r="J517" s="16">
        <f t="shared" si="34"/>
        <v>1610.4</v>
      </c>
      <c r="K517" s="2">
        <f t="shared" si="35"/>
        <v>30597.599999999999</v>
      </c>
    </row>
    <row r="518" spans="1:11" ht="16.5" x14ac:dyDescent="0.3">
      <c r="A518" s="4">
        <v>42917</v>
      </c>
      <c r="B518" s="2" t="s">
        <v>31</v>
      </c>
      <c r="C518" s="2" t="s">
        <v>19</v>
      </c>
      <c r="D518" s="2" t="s">
        <v>30</v>
      </c>
      <c r="E518" s="16" t="s">
        <v>21</v>
      </c>
      <c r="F518" s="2">
        <v>2425.5</v>
      </c>
      <c r="G518" s="2">
        <v>6</v>
      </c>
      <c r="H518" s="2">
        <f t="shared" si="32"/>
        <v>9</v>
      </c>
      <c r="I518" s="2">
        <f t="shared" si="33"/>
        <v>21829.5</v>
      </c>
      <c r="J518" s="16">
        <f t="shared" si="34"/>
        <v>1091.4750000000001</v>
      </c>
      <c r="K518" s="2">
        <f t="shared" si="35"/>
        <v>20738.025000000001</v>
      </c>
    </row>
    <row r="519" spans="1:11" ht="16.5" x14ac:dyDescent="0.3">
      <c r="A519" s="4">
        <v>42948</v>
      </c>
      <c r="B519" s="2" t="s">
        <v>32</v>
      </c>
      <c r="C519" s="2" t="s">
        <v>12</v>
      </c>
      <c r="D519" s="2" t="s">
        <v>20</v>
      </c>
      <c r="E519" s="16" t="s">
        <v>17</v>
      </c>
      <c r="F519" s="2">
        <v>2394</v>
      </c>
      <c r="G519" s="2">
        <v>5</v>
      </c>
      <c r="H519" s="2">
        <f t="shared" si="32"/>
        <v>20</v>
      </c>
      <c r="I519" s="2">
        <f t="shared" si="33"/>
        <v>47880</v>
      </c>
      <c r="J519" s="16">
        <f t="shared" si="34"/>
        <v>2394</v>
      </c>
      <c r="K519" s="2">
        <f t="shared" si="35"/>
        <v>45486</v>
      </c>
    </row>
    <row r="520" spans="1:11" ht="16.5" x14ac:dyDescent="0.3">
      <c r="A520" s="4">
        <v>42948</v>
      </c>
      <c r="B520" s="2" t="s">
        <v>32</v>
      </c>
      <c r="C520" s="2" t="s">
        <v>23</v>
      </c>
      <c r="D520" s="2" t="s">
        <v>28</v>
      </c>
      <c r="E520" s="16" t="s">
        <v>17</v>
      </c>
      <c r="F520" s="2">
        <v>1984</v>
      </c>
      <c r="G520" s="2">
        <v>120</v>
      </c>
      <c r="H520" s="2">
        <f t="shared" si="32"/>
        <v>135</v>
      </c>
      <c r="I520" s="2">
        <f t="shared" si="33"/>
        <v>267840</v>
      </c>
      <c r="J520" s="16">
        <f t="shared" si="34"/>
        <v>13392</v>
      </c>
      <c r="K520" s="2">
        <f t="shared" si="35"/>
        <v>254448</v>
      </c>
    </row>
    <row r="521" spans="1:11" ht="16.5" x14ac:dyDescent="0.3">
      <c r="A521" s="4">
        <v>43009</v>
      </c>
      <c r="B521" s="2" t="s">
        <v>11</v>
      </c>
      <c r="C521" s="2" t="s">
        <v>19</v>
      </c>
      <c r="D521" s="2" t="s">
        <v>20</v>
      </c>
      <c r="E521" s="16" t="s">
        <v>21</v>
      </c>
      <c r="F521" s="2">
        <v>2441</v>
      </c>
      <c r="G521" s="2">
        <v>5</v>
      </c>
      <c r="H521" s="2">
        <f t="shared" si="32"/>
        <v>8</v>
      </c>
      <c r="I521" s="2">
        <f t="shared" si="33"/>
        <v>19528</v>
      </c>
      <c r="J521" s="16">
        <f t="shared" si="34"/>
        <v>976.40000000000009</v>
      </c>
      <c r="K521" s="2">
        <f t="shared" si="35"/>
        <v>18551.599999999999</v>
      </c>
    </row>
    <row r="522" spans="1:11" ht="16.5" x14ac:dyDescent="0.3">
      <c r="A522" s="4">
        <v>43009</v>
      </c>
      <c r="B522" s="2" t="s">
        <v>11</v>
      </c>
      <c r="C522" s="2" t="s">
        <v>15</v>
      </c>
      <c r="D522" s="2" t="s">
        <v>30</v>
      </c>
      <c r="E522" s="16" t="s">
        <v>21</v>
      </c>
      <c r="F522" s="2">
        <v>2992</v>
      </c>
      <c r="G522" s="2">
        <v>6</v>
      </c>
      <c r="H522" s="2">
        <f t="shared" si="32"/>
        <v>9</v>
      </c>
      <c r="I522" s="2">
        <f t="shared" si="33"/>
        <v>26928</v>
      </c>
      <c r="J522" s="16">
        <f t="shared" si="34"/>
        <v>1346.4</v>
      </c>
      <c r="K522" s="2">
        <f t="shared" si="35"/>
        <v>25581.599999999999</v>
      </c>
    </row>
    <row r="523" spans="1:11" ht="16.5" x14ac:dyDescent="0.3">
      <c r="A523" s="4">
        <v>43040</v>
      </c>
      <c r="B523" s="2" t="s">
        <v>27</v>
      </c>
      <c r="C523" s="2" t="s">
        <v>12</v>
      </c>
      <c r="D523" s="2" t="s">
        <v>36</v>
      </c>
      <c r="E523" s="16" t="s">
        <v>21</v>
      </c>
      <c r="F523" s="2">
        <v>1366</v>
      </c>
      <c r="G523" s="2">
        <v>10</v>
      </c>
      <c r="H523" s="2">
        <f t="shared" si="32"/>
        <v>13</v>
      </c>
      <c r="I523" s="2">
        <f t="shared" si="33"/>
        <v>17758</v>
      </c>
      <c r="J523" s="16">
        <f t="shared" si="34"/>
        <v>887.90000000000009</v>
      </c>
      <c r="K523" s="2">
        <f t="shared" si="35"/>
        <v>16870.099999999999</v>
      </c>
    </row>
    <row r="524" spans="1:11" ht="16.5" x14ac:dyDescent="0.3">
      <c r="A524" s="4">
        <v>42979</v>
      </c>
      <c r="B524" s="2" t="s">
        <v>25</v>
      </c>
      <c r="C524" s="2" t="s">
        <v>19</v>
      </c>
      <c r="D524" s="2" t="s">
        <v>29</v>
      </c>
      <c r="E524" s="16" t="s">
        <v>24</v>
      </c>
      <c r="F524" s="2">
        <v>2805</v>
      </c>
      <c r="G524" s="2">
        <v>40</v>
      </c>
      <c r="H524" s="2">
        <f t="shared" si="32"/>
        <v>50</v>
      </c>
      <c r="I524" s="2">
        <f t="shared" si="33"/>
        <v>140250</v>
      </c>
      <c r="J524" s="16">
        <f t="shared" si="34"/>
        <v>7012.5</v>
      </c>
      <c r="K524" s="2">
        <f t="shared" si="35"/>
        <v>133237.5</v>
      </c>
    </row>
    <row r="525" spans="1:11" ht="16.5" x14ac:dyDescent="0.3">
      <c r="A525" s="4">
        <v>42979</v>
      </c>
      <c r="B525" s="2" t="s">
        <v>25</v>
      </c>
      <c r="C525" s="2" t="s">
        <v>23</v>
      </c>
      <c r="D525" s="2" t="s">
        <v>35</v>
      </c>
      <c r="E525" s="16" t="s">
        <v>14</v>
      </c>
      <c r="F525" s="2">
        <v>655</v>
      </c>
      <c r="G525" s="2">
        <v>25</v>
      </c>
      <c r="H525" s="2">
        <f t="shared" si="32"/>
        <v>45</v>
      </c>
      <c r="I525" s="2">
        <f t="shared" si="33"/>
        <v>29475</v>
      </c>
      <c r="J525" s="16">
        <f t="shared" si="34"/>
        <v>1473.75</v>
      </c>
      <c r="K525" s="2">
        <f t="shared" si="35"/>
        <v>28001.25</v>
      </c>
    </row>
    <row r="526" spans="1:11" ht="16.5" x14ac:dyDescent="0.3">
      <c r="A526" s="4">
        <v>43009</v>
      </c>
      <c r="B526" s="2" t="s">
        <v>11</v>
      </c>
      <c r="C526" s="2" t="s">
        <v>23</v>
      </c>
      <c r="D526" s="2" t="s">
        <v>20</v>
      </c>
      <c r="E526" s="16" t="s">
        <v>14</v>
      </c>
      <c r="F526" s="2">
        <v>344</v>
      </c>
      <c r="G526" s="2">
        <v>5</v>
      </c>
      <c r="H526" s="2">
        <f t="shared" si="32"/>
        <v>25</v>
      </c>
      <c r="I526" s="2">
        <f t="shared" si="33"/>
        <v>8600</v>
      </c>
      <c r="J526" s="16">
        <f t="shared" si="34"/>
        <v>430</v>
      </c>
      <c r="K526" s="2">
        <f t="shared" si="35"/>
        <v>8170</v>
      </c>
    </row>
    <row r="527" spans="1:11" ht="16.5" x14ac:dyDescent="0.3">
      <c r="A527" s="4">
        <v>43040</v>
      </c>
      <c r="B527" s="2" t="s">
        <v>27</v>
      </c>
      <c r="C527" s="2" t="s">
        <v>12</v>
      </c>
      <c r="D527" s="2" t="s">
        <v>16</v>
      </c>
      <c r="E527" s="16" t="s">
        <v>21</v>
      </c>
      <c r="F527" s="2">
        <v>1808</v>
      </c>
      <c r="G527" s="2">
        <v>4</v>
      </c>
      <c r="H527" s="2">
        <f t="shared" si="32"/>
        <v>7</v>
      </c>
      <c r="I527" s="2">
        <f t="shared" si="33"/>
        <v>12656</v>
      </c>
      <c r="J527" s="16">
        <f t="shared" si="34"/>
        <v>632.80000000000007</v>
      </c>
      <c r="K527" s="2">
        <f t="shared" si="35"/>
        <v>12023.2</v>
      </c>
    </row>
    <row r="528" spans="1:11" ht="16.5" x14ac:dyDescent="0.3">
      <c r="A528" s="4">
        <v>42736</v>
      </c>
      <c r="B528" s="2" t="s">
        <v>11</v>
      </c>
      <c r="C528" s="2" t="s">
        <v>19</v>
      </c>
      <c r="D528" s="2" t="s">
        <v>36</v>
      </c>
      <c r="E528" s="16" t="s">
        <v>21</v>
      </c>
      <c r="F528" s="2">
        <v>1734</v>
      </c>
      <c r="G528" s="2">
        <v>10</v>
      </c>
      <c r="H528" s="2">
        <f t="shared" si="32"/>
        <v>13</v>
      </c>
      <c r="I528" s="2">
        <f t="shared" si="33"/>
        <v>22542</v>
      </c>
      <c r="J528" s="16">
        <f t="shared" si="34"/>
        <v>1127.1000000000001</v>
      </c>
      <c r="K528" s="2">
        <f t="shared" si="35"/>
        <v>21414.9</v>
      </c>
    </row>
    <row r="529" spans="1:11" ht="16.5" x14ac:dyDescent="0.3">
      <c r="A529" s="4">
        <v>42736</v>
      </c>
      <c r="B529" s="2" t="s">
        <v>11</v>
      </c>
      <c r="C529" s="2" t="s">
        <v>23</v>
      </c>
      <c r="D529" s="2" t="s">
        <v>13</v>
      </c>
      <c r="E529" s="16" t="s">
        <v>17</v>
      </c>
      <c r="F529" s="2">
        <v>554</v>
      </c>
      <c r="G529" s="2">
        <v>30</v>
      </c>
      <c r="H529" s="2">
        <f t="shared" si="32"/>
        <v>45</v>
      </c>
      <c r="I529" s="2">
        <f t="shared" si="33"/>
        <v>24930</v>
      </c>
      <c r="J529" s="16">
        <f t="shared" si="34"/>
        <v>1246.5</v>
      </c>
      <c r="K529" s="2">
        <f t="shared" si="35"/>
        <v>23683.5</v>
      </c>
    </row>
    <row r="530" spans="1:11" ht="16.5" x14ac:dyDescent="0.3">
      <c r="A530" s="4">
        <v>43040</v>
      </c>
      <c r="B530" s="2" t="s">
        <v>27</v>
      </c>
      <c r="C530" s="2" t="s">
        <v>12</v>
      </c>
      <c r="D530" s="2" t="s">
        <v>33</v>
      </c>
      <c r="E530" s="16" t="s">
        <v>17</v>
      </c>
      <c r="F530" s="2">
        <v>2935</v>
      </c>
      <c r="G530" s="2">
        <v>20</v>
      </c>
      <c r="H530" s="2">
        <f t="shared" si="32"/>
        <v>35</v>
      </c>
      <c r="I530" s="2">
        <f t="shared" si="33"/>
        <v>102725</v>
      </c>
      <c r="J530" s="16">
        <f t="shared" si="34"/>
        <v>5136.25</v>
      </c>
      <c r="K530" s="2">
        <f t="shared" si="35"/>
        <v>97588.75</v>
      </c>
    </row>
    <row r="531" spans="1:11" ht="16.5" x14ac:dyDescent="0.3">
      <c r="A531" s="4">
        <v>42736</v>
      </c>
      <c r="B531" s="2" t="s">
        <v>11</v>
      </c>
      <c r="C531" s="2" t="s">
        <v>15</v>
      </c>
      <c r="D531" s="2" t="s">
        <v>13</v>
      </c>
      <c r="E531" s="16" t="s">
        <v>21</v>
      </c>
      <c r="F531" s="2">
        <v>3165</v>
      </c>
      <c r="G531" s="2">
        <v>30</v>
      </c>
      <c r="H531" s="2">
        <f t="shared" si="32"/>
        <v>33</v>
      </c>
      <c r="I531" s="2">
        <f t="shared" si="33"/>
        <v>104445</v>
      </c>
      <c r="J531" s="16">
        <f t="shared" si="34"/>
        <v>12533.4</v>
      </c>
      <c r="K531" s="2">
        <f t="shared" si="35"/>
        <v>91911.6</v>
      </c>
    </row>
    <row r="532" spans="1:11" ht="16.5" x14ac:dyDescent="0.3">
      <c r="A532" s="4">
        <v>42736</v>
      </c>
      <c r="B532" s="2" t="s">
        <v>11</v>
      </c>
      <c r="C532" s="2" t="s">
        <v>23</v>
      </c>
      <c r="D532" s="2" t="s">
        <v>26</v>
      </c>
      <c r="E532" s="16" t="s">
        <v>21</v>
      </c>
      <c r="F532" s="2">
        <v>2629</v>
      </c>
      <c r="G532" s="2">
        <v>2</v>
      </c>
      <c r="H532" s="2">
        <f t="shared" si="32"/>
        <v>5</v>
      </c>
      <c r="I532" s="2">
        <f t="shared" si="33"/>
        <v>13145</v>
      </c>
      <c r="J532" s="16">
        <f t="shared" si="34"/>
        <v>657.25</v>
      </c>
      <c r="K532" s="2">
        <f t="shared" si="35"/>
        <v>12487.75</v>
      </c>
    </row>
    <row r="533" spans="1:11" ht="16.5" x14ac:dyDescent="0.3">
      <c r="A533" s="4">
        <v>42856</v>
      </c>
      <c r="B533" s="2" t="s">
        <v>37</v>
      </c>
      <c r="C533" s="2" t="s">
        <v>19</v>
      </c>
      <c r="D533" s="2" t="s">
        <v>35</v>
      </c>
      <c r="E533" s="16" t="s">
        <v>21</v>
      </c>
      <c r="F533" s="2">
        <v>1433</v>
      </c>
      <c r="G533" s="2">
        <v>25</v>
      </c>
      <c r="H533" s="2">
        <f t="shared" si="32"/>
        <v>28</v>
      </c>
      <c r="I533" s="2">
        <f t="shared" si="33"/>
        <v>40124</v>
      </c>
      <c r="J533" s="16">
        <f t="shared" si="34"/>
        <v>2006.2</v>
      </c>
      <c r="K533" s="2">
        <f t="shared" si="35"/>
        <v>38117.800000000003</v>
      </c>
    </row>
    <row r="534" spans="1:11" ht="16.5" x14ac:dyDescent="0.3">
      <c r="A534" s="4">
        <v>42979</v>
      </c>
      <c r="B534" s="2" t="s">
        <v>25</v>
      </c>
      <c r="C534" s="2" t="s">
        <v>23</v>
      </c>
      <c r="D534" s="2" t="s">
        <v>16</v>
      </c>
      <c r="E534" s="16" t="s">
        <v>21</v>
      </c>
      <c r="F534" s="2">
        <v>947</v>
      </c>
      <c r="G534" s="2">
        <v>4</v>
      </c>
      <c r="H534" s="2">
        <f t="shared" si="32"/>
        <v>7</v>
      </c>
      <c r="I534" s="2">
        <f t="shared" si="33"/>
        <v>6629</v>
      </c>
      <c r="J534" s="16">
        <f t="shared" si="34"/>
        <v>331.45000000000005</v>
      </c>
      <c r="K534" s="2">
        <f t="shared" si="35"/>
        <v>6297.55</v>
      </c>
    </row>
    <row r="535" spans="1:11" ht="16.5" x14ac:dyDescent="0.3">
      <c r="A535" s="4">
        <v>43009</v>
      </c>
      <c r="B535" s="2" t="s">
        <v>11</v>
      </c>
      <c r="C535" s="2" t="s">
        <v>23</v>
      </c>
      <c r="D535" s="2" t="s">
        <v>26</v>
      </c>
      <c r="E535" s="16" t="s">
        <v>24</v>
      </c>
      <c r="F535" s="2">
        <v>344</v>
      </c>
      <c r="G535" s="2">
        <v>2</v>
      </c>
      <c r="H535" s="2">
        <f t="shared" si="32"/>
        <v>12</v>
      </c>
      <c r="I535" s="2">
        <f t="shared" si="33"/>
        <v>4128</v>
      </c>
      <c r="J535" s="16">
        <f t="shared" si="34"/>
        <v>206.4</v>
      </c>
      <c r="K535" s="2">
        <f t="shared" si="35"/>
        <v>3921.6</v>
      </c>
    </row>
    <row r="536" spans="1:11" ht="16.5" x14ac:dyDescent="0.3">
      <c r="A536" s="4">
        <v>43070</v>
      </c>
      <c r="B536" s="2" t="s">
        <v>25</v>
      </c>
      <c r="C536" s="2" t="s">
        <v>23</v>
      </c>
      <c r="D536" s="2" t="s">
        <v>26</v>
      </c>
      <c r="E536" s="16" t="s">
        <v>14</v>
      </c>
      <c r="F536" s="2">
        <v>2157</v>
      </c>
      <c r="G536" s="2">
        <v>2</v>
      </c>
      <c r="H536" s="2">
        <f t="shared" si="32"/>
        <v>22</v>
      </c>
      <c r="I536" s="2">
        <f t="shared" si="33"/>
        <v>47454</v>
      </c>
      <c r="J536" s="16">
        <f t="shared" si="34"/>
        <v>2372.7000000000003</v>
      </c>
      <c r="K536" s="2">
        <f t="shared" si="35"/>
        <v>45081.3</v>
      </c>
    </row>
    <row r="537" spans="1:11" ht="16.5" x14ac:dyDescent="0.3">
      <c r="A537" s="4">
        <v>42979</v>
      </c>
      <c r="B537" s="2" t="s">
        <v>25</v>
      </c>
      <c r="C537" s="2" t="s">
        <v>34</v>
      </c>
      <c r="D537" s="2" t="s">
        <v>30</v>
      </c>
      <c r="E537" s="16" t="s">
        <v>14</v>
      </c>
      <c r="F537" s="2">
        <v>380</v>
      </c>
      <c r="G537" s="2">
        <v>6</v>
      </c>
      <c r="H537" s="2">
        <f t="shared" si="32"/>
        <v>26</v>
      </c>
      <c r="I537" s="2">
        <f t="shared" si="33"/>
        <v>9880</v>
      </c>
      <c r="J537" s="16">
        <f t="shared" si="34"/>
        <v>494</v>
      </c>
      <c r="K537" s="2">
        <f t="shared" si="35"/>
        <v>9386</v>
      </c>
    </row>
    <row r="538" spans="1:11" ht="16.5" x14ac:dyDescent="0.3">
      <c r="A538" s="4">
        <v>42887</v>
      </c>
      <c r="B538" s="2" t="s">
        <v>18</v>
      </c>
      <c r="C538" s="2" t="s">
        <v>23</v>
      </c>
      <c r="D538" s="2" t="s">
        <v>22</v>
      </c>
      <c r="E538" s="16" t="s">
        <v>21</v>
      </c>
      <c r="F538" s="2">
        <v>886</v>
      </c>
      <c r="G538" s="2">
        <v>3</v>
      </c>
      <c r="H538" s="2">
        <f t="shared" si="32"/>
        <v>6</v>
      </c>
      <c r="I538" s="2">
        <f t="shared" si="33"/>
        <v>5316</v>
      </c>
      <c r="J538" s="16">
        <f t="shared" si="34"/>
        <v>265.8</v>
      </c>
      <c r="K538" s="2">
        <f t="shared" si="35"/>
        <v>5050.2</v>
      </c>
    </row>
    <row r="539" spans="1:11" ht="16.5" x14ac:dyDescent="0.3">
      <c r="A539" s="4">
        <v>42979</v>
      </c>
      <c r="B539" s="2" t="s">
        <v>25</v>
      </c>
      <c r="C539" s="2" t="s">
        <v>12</v>
      </c>
      <c r="D539" s="2" t="s">
        <v>29</v>
      </c>
      <c r="E539" s="16" t="s">
        <v>21</v>
      </c>
      <c r="F539" s="2">
        <v>2416</v>
      </c>
      <c r="G539" s="2">
        <v>40</v>
      </c>
      <c r="H539" s="2">
        <f t="shared" si="32"/>
        <v>43</v>
      </c>
      <c r="I539" s="2">
        <f t="shared" si="33"/>
        <v>103888</v>
      </c>
      <c r="J539" s="16">
        <f t="shared" si="34"/>
        <v>5194.4000000000005</v>
      </c>
      <c r="K539" s="2">
        <f t="shared" si="35"/>
        <v>98693.6</v>
      </c>
    </row>
    <row r="540" spans="1:11" ht="16.5" x14ac:dyDescent="0.3">
      <c r="A540" s="4">
        <v>43009</v>
      </c>
      <c r="B540" s="2" t="s">
        <v>11</v>
      </c>
      <c r="C540" s="2" t="s">
        <v>23</v>
      </c>
      <c r="D540" s="2" t="s">
        <v>33</v>
      </c>
      <c r="E540" s="16" t="s">
        <v>17</v>
      </c>
      <c r="F540" s="2">
        <v>2156</v>
      </c>
      <c r="G540" s="2">
        <v>20</v>
      </c>
      <c r="H540" s="2">
        <f t="shared" si="32"/>
        <v>35</v>
      </c>
      <c r="I540" s="2">
        <f t="shared" si="33"/>
        <v>75460</v>
      </c>
      <c r="J540" s="16">
        <f t="shared" si="34"/>
        <v>3773</v>
      </c>
      <c r="K540" s="2">
        <f t="shared" si="35"/>
        <v>71687</v>
      </c>
    </row>
    <row r="541" spans="1:11" ht="16.5" x14ac:dyDescent="0.3">
      <c r="A541" s="4">
        <v>43040</v>
      </c>
      <c r="B541" s="2" t="s">
        <v>27</v>
      </c>
      <c r="C541" s="2" t="s">
        <v>12</v>
      </c>
      <c r="D541" s="2" t="s">
        <v>20</v>
      </c>
      <c r="E541" s="16" t="s">
        <v>17</v>
      </c>
      <c r="F541" s="2">
        <v>2689</v>
      </c>
      <c r="G541" s="2">
        <v>5</v>
      </c>
      <c r="H541" s="2">
        <f t="shared" si="32"/>
        <v>20</v>
      </c>
      <c r="I541" s="2">
        <f t="shared" si="33"/>
        <v>53780</v>
      </c>
      <c r="J541" s="16">
        <f t="shared" si="34"/>
        <v>2689</v>
      </c>
      <c r="K541" s="2">
        <f t="shared" si="35"/>
        <v>51091</v>
      </c>
    </row>
    <row r="542" spans="1:11" ht="16.5" x14ac:dyDescent="0.3">
      <c r="A542" s="4">
        <v>42795</v>
      </c>
      <c r="B542" s="2" t="s">
        <v>27</v>
      </c>
      <c r="C542" s="2" t="s">
        <v>34</v>
      </c>
      <c r="D542" s="2" t="s">
        <v>16</v>
      </c>
      <c r="E542" s="16" t="s">
        <v>21</v>
      </c>
      <c r="F542" s="2">
        <v>677</v>
      </c>
      <c r="G542" s="2">
        <v>4</v>
      </c>
      <c r="H542" s="2">
        <f t="shared" si="32"/>
        <v>7</v>
      </c>
      <c r="I542" s="2">
        <f t="shared" si="33"/>
        <v>4739</v>
      </c>
      <c r="J542" s="16">
        <f t="shared" si="34"/>
        <v>236.95000000000002</v>
      </c>
      <c r="K542" s="2">
        <f t="shared" si="35"/>
        <v>4502.05</v>
      </c>
    </row>
    <row r="543" spans="1:11" ht="16.5" x14ac:dyDescent="0.3">
      <c r="A543" s="4">
        <v>42826</v>
      </c>
      <c r="B543" s="2" t="s">
        <v>31</v>
      </c>
      <c r="C543" s="2" t="s">
        <v>19</v>
      </c>
      <c r="D543" s="2" t="s">
        <v>29</v>
      </c>
      <c r="E543" s="16" t="s">
        <v>21</v>
      </c>
      <c r="F543" s="2">
        <v>1773</v>
      </c>
      <c r="G543" s="2">
        <v>40</v>
      </c>
      <c r="H543" s="2">
        <f t="shared" si="32"/>
        <v>43</v>
      </c>
      <c r="I543" s="2">
        <f t="shared" si="33"/>
        <v>76239</v>
      </c>
      <c r="J543" s="16">
        <f t="shared" si="34"/>
        <v>3811.9500000000003</v>
      </c>
      <c r="K543" s="2">
        <f t="shared" si="35"/>
        <v>72427.05</v>
      </c>
    </row>
    <row r="544" spans="1:11" ht="16.5" x14ac:dyDescent="0.3">
      <c r="A544" s="4">
        <v>42979</v>
      </c>
      <c r="B544" s="2" t="s">
        <v>25</v>
      </c>
      <c r="C544" s="2" t="s">
        <v>23</v>
      </c>
      <c r="D544" s="2" t="s">
        <v>20</v>
      </c>
      <c r="E544" s="16" t="s">
        <v>21</v>
      </c>
      <c r="F544" s="2">
        <v>2420</v>
      </c>
      <c r="G544" s="2">
        <v>5</v>
      </c>
      <c r="H544" s="2">
        <f t="shared" si="32"/>
        <v>8</v>
      </c>
      <c r="I544" s="2">
        <f t="shared" si="33"/>
        <v>19360</v>
      </c>
      <c r="J544" s="16">
        <f t="shared" si="34"/>
        <v>968</v>
      </c>
      <c r="K544" s="2">
        <f t="shared" si="35"/>
        <v>18392</v>
      </c>
    </row>
    <row r="545" spans="1:11" ht="16.5" x14ac:dyDescent="0.3">
      <c r="A545" s="4">
        <v>43009</v>
      </c>
      <c r="B545" s="2" t="s">
        <v>11</v>
      </c>
      <c r="C545" s="2" t="s">
        <v>12</v>
      </c>
      <c r="D545" s="2" t="s">
        <v>29</v>
      </c>
      <c r="E545" s="16" t="s">
        <v>24</v>
      </c>
      <c r="F545" s="2">
        <v>2734</v>
      </c>
      <c r="G545" s="2">
        <v>40</v>
      </c>
      <c r="H545" s="2">
        <f t="shared" si="32"/>
        <v>50</v>
      </c>
      <c r="I545" s="2">
        <f t="shared" si="33"/>
        <v>136700</v>
      </c>
      <c r="J545" s="16">
        <f t="shared" si="34"/>
        <v>6835</v>
      </c>
      <c r="K545" s="2">
        <f t="shared" si="35"/>
        <v>129865</v>
      </c>
    </row>
    <row r="546" spans="1:11" ht="16.5" x14ac:dyDescent="0.3">
      <c r="A546" s="4">
        <v>43009</v>
      </c>
      <c r="B546" s="2" t="s">
        <v>11</v>
      </c>
      <c r="C546" s="2" t="s">
        <v>23</v>
      </c>
      <c r="D546" s="2" t="s">
        <v>20</v>
      </c>
      <c r="E546" s="16" t="s">
        <v>14</v>
      </c>
      <c r="F546" s="2">
        <v>1715</v>
      </c>
      <c r="G546" s="2">
        <v>5</v>
      </c>
      <c r="H546" s="2">
        <f t="shared" si="32"/>
        <v>25</v>
      </c>
      <c r="I546" s="2">
        <f t="shared" si="33"/>
        <v>42875</v>
      </c>
      <c r="J546" s="16">
        <f t="shared" si="34"/>
        <v>2143.75</v>
      </c>
      <c r="K546" s="2">
        <f t="shared" si="35"/>
        <v>40731.25</v>
      </c>
    </row>
    <row r="547" spans="1:11" ht="16.5" x14ac:dyDescent="0.3">
      <c r="A547" s="4">
        <v>43070</v>
      </c>
      <c r="B547" s="2" t="s">
        <v>25</v>
      </c>
      <c r="C547" s="2" t="s">
        <v>19</v>
      </c>
      <c r="D547" s="2" t="s">
        <v>30</v>
      </c>
      <c r="E547" s="16" t="s">
        <v>14</v>
      </c>
      <c r="F547" s="2">
        <v>1186</v>
      </c>
      <c r="G547" s="2">
        <v>6</v>
      </c>
      <c r="H547" s="2">
        <f t="shared" si="32"/>
        <v>26</v>
      </c>
      <c r="I547" s="2">
        <f t="shared" si="33"/>
        <v>30836</v>
      </c>
      <c r="J547" s="16">
        <f t="shared" si="34"/>
        <v>1541.8000000000002</v>
      </c>
      <c r="K547" s="2">
        <f t="shared" si="35"/>
        <v>29294.2</v>
      </c>
    </row>
    <row r="548" spans="1:11" ht="16.5" x14ac:dyDescent="0.3">
      <c r="A548" s="4">
        <v>42736</v>
      </c>
      <c r="B548" s="2" t="s">
        <v>11</v>
      </c>
      <c r="C548" s="2" t="s">
        <v>34</v>
      </c>
      <c r="D548" s="2" t="s">
        <v>28</v>
      </c>
      <c r="E548" s="16" t="s">
        <v>21</v>
      </c>
      <c r="F548" s="2">
        <v>3495</v>
      </c>
      <c r="G548" s="2">
        <v>120</v>
      </c>
      <c r="H548" s="2">
        <f t="shared" si="32"/>
        <v>123</v>
      </c>
      <c r="I548" s="2">
        <f t="shared" si="33"/>
        <v>429885</v>
      </c>
      <c r="J548" s="16">
        <f t="shared" si="34"/>
        <v>21494.25</v>
      </c>
      <c r="K548" s="2">
        <f t="shared" si="35"/>
        <v>408390.75</v>
      </c>
    </row>
    <row r="549" spans="1:11" ht="16.5" x14ac:dyDescent="0.3">
      <c r="A549" s="4">
        <v>42887</v>
      </c>
      <c r="B549" s="2" t="s">
        <v>18</v>
      </c>
      <c r="C549" s="2" t="s">
        <v>23</v>
      </c>
      <c r="D549" s="2" t="s">
        <v>35</v>
      </c>
      <c r="E549" s="16" t="s">
        <v>21</v>
      </c>
      <c r="F549" s="2">
        <v>886</v>
      </c>
      <c r="G549" s="2">
        <v>25</v>
      </c>
      <c r="H549" s="2">
        <f t="shared" si="32"/>
        <v>28</v>
      </c>
      <c r="I549" s="2">
        <f t="shared" si="33"/>
        <v>24808</v>
      </c>
      <c r="J549" s="16">
        <f t="shared" si="34"/>
        <v>1240.4000000000001</v>
      </c>
      <c r="K549" s="2">
        <f t="shared" si="35"/>
        <v>23567.599999999999</v>
      </c>
    </row>
    <row r="550" spans="1:11" ht="16.5" x14ac:dyDescent="0.3">
      <c r="A550" s="4">
        <v>43009</v>
      </c>
      <c r="B550" s="2" t="s">
        <v>11</v>
      </c>
      <c r="C550" s="2" t="s">
        <v>23</v>
      </c>
      <c r="D550" s="2" t="s">
        <v>16</v>
      </c>
      <c r="E550" s="16" t="s">
        <v>17</v>
      </c>
      <c r="F550" s="2">
        <v>2156</v>
      </c>
      <c r="G550" s="2">
        <v>4</v>
      </c>
      <c r="H550" s="2">
        <f t="shared" si="32"/>
        <v>19</v>
      </c>
      <c r="I550" s="2">
        <f t="shared" si="33"/>
        <v>40964</v>
      </c>
      <c r="J550" s="16">
        <f t="shared" si="34"/>
        <v>2048.2000000000003</v>
      </c>
      <c r="K550" s="2">
        <f t="shared" si="35"/>
        <v>38915.800000000003</v>
      </c>
    </row>
    <row r="551" spans="1:11" ht="16.5" x14ac:dyDescent="0.3">
      <c r="A551" s="4">
        <v>43009</v>
      </c>
      <c r="B551" s="2" t="s">
        <v>11</v>
      </c>
      <c r="C551" s="2" t="s">
        <v>23</v>
      </c>
      <c r="D551" s="2" t="s">
        <v>20</v>
      </c>
      <c r="E551" s="16" t="s">
        <v>17</v>
      </c>
      <c r="F551" s="2">
        <v>905</v>
      </c>
      <c r="G551" s="2">
        <v>5</v>
      </c>
      <c r="H551" s="2">
        <f t="shared" si="32"/>
        <v>20</v>
      </c>
      <c r="I551" s="2">
        <f t="shared" si="33"/>
        <v>18100</v>
      </c>
      <c r="J551" s="16">
        <f t="shared" si="34"/>
        <v>905</v>
      </c>
      <c r="K551" s="2">
        <f t="shared" si="35"/>
        <v>17195</v>
      </c>
    </row>
    <row r="552" spans="1:11" ht="16.5" x14ac:dyDescent="0.3">
      <c r="A552" s="4">
        <v>43009</v>
      </c>
      <c r="B552" s="2" t="s">
        <v>11</v>
      </c>
      <c r="C552" s="2" t="s">
        <v>23</v>
      </c>
      <c r="D552" s="2" t="s">
        <v>20</v>
      </c>
      <c r="E552" s="16" t="s">
        <v>21</v>
      </c>
      <c r="F552" s="2">
        <v>1715</v>
      </c>
      <c r="G552" s="2">
        <v>5</v>
      </c>
      <c r="H552" s="2">
        <f t="shared" si="32"/>
        <v>8</v>
      </c>
      <c r="I552" s="2">
        <f t="shared" si="33"/>
        <v>13720</v>
      </c>
      <c r="J552" s="16">
        <f t="shared" si="34"/>
        <v>686</v>
      </c>
      <c r="K552" s="2">
        <f t="shared" si="35"/>
        <v>13034</v>
      </c>
    </row>
    <row r="553" spans="1:11" ht="16.5" x14ac:dyDescent="0.3">
      <c r="A553" s="4">
        <v>43040</v>
      </c>
      <c r="B553" s="2" t="s">
        <v>27</v>
      </c>
      <c r="C553" s="2" t="s">
        <v>19</v>
      </c>
      <c r="D553" s="2" t="s">
        <v>30</v>
      </c>
      <c r="E553" s="16" t="s">
        <v>21</v>
      </c>
      <c r="F553" s="2">
        <v>1594</v>
      </c>
      <c r="G553" s="2">
        <v>6</v>
      </c>
      <c r="H553" s="2">
        <f t="shared" si="32"/>
        <v>9</v>
      </c>
      <c r="I553" s="2">
        <f t="shared" si="33"/>
        <v>14346</v>
      </c>
      <c r="J553" s="16">
        <f t="shared" si="34"/>
        <v>717.30000000000007</v>
      </c>
      <c r="K553" s="2">
        <f t="shared" si="35"/>
        <v>13628.7</v>
      </c>
    </row>
    <row r="554" spans="1:11" ht="16.5" x14ac:dyDescent="0.3">
      <c r="A554" s="4">
        <v>43040</v>
      </c>
      <c r="B554" s="2" t="s">
        <v>27</v>
      </c>
      <c r="C554" s="2" t="s">
        <v>15</v>
      </c>
      <c r="D554" s="2" t="s">
        <v>16</v>
      </c>
      <c r="E554" s="16" t="s">
        <v>21</v>
      </c>
      <c r="F554" s="2">
        <v>1359</v>
      </c>
      <c r="G554" s="2">
        <v>4</v>
      </c>
      <c r="H554" s="2">
        <f t="shared" si="32"/>
        <v>7</v>
      </c>
      <c r="I554" s="2">
        <f t="shared" si="33"/>
        <v>9513</v>
      </c>
      <c r="J554" s="16">
        <f t="shared" si="34"/>
        <v>475.65000000000003</v>
      </c>
      <c r="K554" s="2">
        <f t="shared" si="35"/>
        <v>9037.35</v>
      </c>
    </row>
    <row r="555" spans="1:11" ht="16.5" x14ac:dyDescent="0.3">
      <c r="A555" s="4">
        <v>43040</v>
      </c>
      <c r="B555" s="2" t="s">
        <v>27</v>
      </c>
      <c r="C555" s="2" t="s">
        <v>23</v>
      </c>
      <c r="D555" s="2" t="s">
        <v>13</v>
      </c>
      <c r="E555" s="16" t="s">
        <v>21</v>
      </c>
      <c r="F555" s="2">
        <v>2150</v>
      </c>
      <c r="G555" s="2">
        <v>30</v>
      </c>
      <c r="H555" s="2">
        <f t="shared" si="32"/>
        <v>33</v>
      </c>
      <c r="I555" s="2">
        <f t="shared" si="33"/>
        <v>70950</v>
      </c>
      <c r="J555" s="16">
        <f t="shared" si="34"/>
        <v>3547.5</v>
      </c>
      <c r="K555" s="2">
        <f t="shared" si="35"/>
        <v>67402.5</v>
      </c>
    </row>
    <row r="556" spans="1:11" ht="16.5" x14ac:dyDescent="0.3">
      <c r="A556" s="4">
        <v>43040</v>
      </c>
      <c r="B556" s="2" t="s">
        <v>27</v>
      </c>
      <c r="C556" s="2" t="s">
        <v>23</v>
      </c>
      <c r="D556" s="2" t="s">
        <v>29</v>
      </c>
      <c r="E556" s="16" t="s">
        <v>24</v>
      </c>
      <c r="F556" s="2">
        <v>1197</v>
      </c>
      <c r="G556" s="2">
        <v>40</v>
      </c>
      <c r="H556" s="2">
        <f t="shared" si="32"/>
        <v>50</v>
      </c>
      <c r="I556" s="2">
        <f t="shared" si="33"/>
        <v>59850</v>
      </c>
      <c r="J556" s="16">
        <f t="shared" si="34"/>
        <v>2992.5</v>
      </c>
      <c r="K556" s="2">
        <f t="shared" si="35"/>
        <v>56857.5</v>
      </c>
    </row>
    <row r="557" spans="1:11" ht="16.5" x14ac:dyDescent="0.3">
      <c r="A557" s="4">
        <v>43070</v>
      </c>
      <c r="B557" s="2" t="s">
        <v>25</v>
      </c>
      <c r="C557" s="2" t="s">
        <v>23</v>
      </c>
      <c r="D557" s="2" t="s">
        <v>28</v>
      </c>
      <c r="E557" s="16" t="s">
        <v>14</v>
      </c>
      <c r="F557" s="2">
        <v>380</v>
      </c>
      <c r="G557" s="2">
        <v>120</v>
      </c>
      <c r="H557" s="2">
        <f t="shared" si="32"/>
        <v>140</v>
      </c>
      <c r="I557" s="2">
        <f t="shared" si="33"/>
        <v>53200</v>
      </c>
      <c r="J557" s="16">
        <f t="shared" si="34"/>
        <v>2660</v>
      </c>
      <c r="K557" s="2">
        <f t="shared" si="35"/>
        <v>50540</v>
      </c>
    </row>
    <row r="558" spans="1:11" ht="16.5" x14ac:dyDescent="0.3">
      <c r="A558" s="4">
        <v>43070</v>
      </c>
      <c r="B558" s="2" t="s">
        <v>25</v>
      </c>
      <c r="C558" s="2" t="s">
        <v>23</v>
      </c>
      <c r="D558" s="2" t="s">
        <v>30</v>
      </c>
      <c r="E558" s="16" t="s">
        <v>14</v>
      </c>
      <c r="F558" s="2">
        <v>1233</v>
      </c>
      <c r="G558" s="2">
        <v>6</v>
      </c>
      <c r="H558" s="2">
        <f t="shared" si="32"/>
        <v>26</v>
      </c>
      <c r="I558" s="2">
        <f t="shared" si="33"/>
        <v>32058</v>
      </c>
      <c r="J558" s="16">
        <f t="shared" si="34"/>
        <v>1602.9</v>
      </c>
      <c r="K558" s="2">
        <f t="shared" si="35"/>
        <v>30455.1</v>
      </c>
    </row>
    <row r="559" spans="1:11" ht="16.5" x14ac:dyDescent="0.3">
      <c r="A559" s="4">
        <v>42917</v>
      </c>
      <c r="B559" s="2" t="s">
        <v>31</v>
      </c>
      <c r="C559" s="2" t="s">
        <v>23</v>
      </c>
      <c r="D559" s="2" t="s">
        <v>16</v>
      </c>
      <c r="E559" s="16" t="s">
        <v>21</v>
      </c>
      <c r="F559" s="2">
        <v>1395</v>
      </c>
      <c r="G559" s="2">
        <v>4</v>
      </c>
      <c r="H559" s="2">
        <f t="shared" si="32"/>
        <v>7</v>
      </c>
      <c r="I559" s="2">
        <f t="shared" si="33"/>
        <v>9765</v>
      </c>
      <c r="J559" s="16">
        <f t="shared" si="34"/>
        <v>488.25</v>
      </c>
      <c r="K559" s="2">
        <f t="shared" si="35"/>
        <v>9276.75</v>
      </c>
    </row>
    <row r="560" spans="1:11" ht="16.5" x14ac:dyDescent="0.3">
      <c r="A560" s="4">
        <v>43009</v>
      </c>
      <c r="B560" s="2" t="s">
        <v>11</v>
      </c>
      <c r="C560" s="2" t="s">
        <v>34</v>
      </c>
      <c r="D560" s="2" t="s">
        <v>36</v>
      </c>
      <c r="E560" s="16" t="s">
        <v>21</v>
      </c>
      <c r="F560" s="2">
        <v>986</v>
      </c>
      <c r="G560" s="2">
        <v>10</v>
      </c>
      <c r="H560" s="2">
        <f t="shared" si="32"/>
        <v>13</v>
      </c>
      <c r="I560" s="2">
        <f t="shared" si="33"/>
        <v>12818</v>
      </c>
      <c r="J560" s="16">
        <f t="shared" si="34"/>
        <v>640.90000000000009</v>
      </c>
      <c r="K560" s="2">
        <f t="shared" si="35"/>
        <v>12177.1</v>
      </c>
    </row>
    <row r="561" spans="1:11" ht="16.5" x14ac:dyDescent="0.3">
      <c r="A561" s="4">
        <v>43009</v>
      </c>
      <c r="B561" s="2" t="s">
        <v>11</v>
      </c>
      <c r="C561" s="2" t="s">
        <v>23</v>
      </c>
      <c r="D561" s="2" t="s">
        <v>28</v>
      </c>
      <c r="E561" s="16" t="s">
        <v>17</v>
      </c>
      <c r="F561" s="2">
        <v>905</v>
      </c>
      <c r="G561" s="2">
        <v>120</v>
      </c>
      <c r="H561" s="2">
        <f t="shared" si="32"/>
        <v>135</v>
      </c>
      <c r="I561" s="2">
        <f t="shared" si="33"/>
        <v>122175</v>
      </c>
      <c r="J561" s="16">
        <f t="shared" si="34"/>
        <v>6108.75</v>
      </c>
      <c r="K561" s="2">
        <f t="shared" si="35"/>
        <v>116066.25</v>
      </c>
    </row>
    <row r="562" spans="1:11" ht="16.5" x14ac:dyDescent="0.3">
      <c r="A562" s="4">
        <v>42856</v>
      </c>
      <c r="B562" s="2" t="s">
        <v>37</v>
      </c>
      <c r="C562" s="2" t="s">
        <v>12</v>
      </c>
      <c r="D562" s="2" t="s">
        <v>35</v>
      </c>
      <c r="E562" s="16" t="s">
        <v>17</v>
      </c>
      <c r="F562" s="2">
        <v>2109</v>
      </c>
      <c r="G562" s="2">
        <v>25</v>
      </c>
      <c r="H562" s="2">
        <f t="shared" si="32"/>
        <v>40</v>
      </c>
      <c r="I562" s="2">
        <f t="shared" si="33"/>
        <v>84360</v>
      </c>
      <c r="J562" s="16">
        <f t="shared" si="34"/>
        <v>4218</v>
      </c>
      <c r="K562" s="2">
        <f t="shared" si="35"/>
        <v>80142</v>
      </c>
    </row>
    <row r="563" spans="1:11" ht="16.5" x14ac:dyDescent="0.3">
      <c r="A563" s="4">
        <v>42917</v>
      </c>
      <c r="B563" s="2" t="s">
        <v>31</v>
      </c>
      <c r="C563" s="2" t="s">
        <v>19</v>
      </c>
      <c r="D563" s="2" t="s">
        <v>20</v>
      </c>
      <c r="E563" s="16" t="s">
        <v>21</v>
      </c>
      <c r="F563" s="2">
        <v>3874.5</v>
      </c>
      <c r="G563" s="2">
        <v>5</v>
      </c>
      <c r="H563" s="2">
        <f t="shared" si="32"/>
        <v>8</v>
      </c>
      <c r="I563" s="2">
        <f t="shared" si="33"/>
        <v>30996</v>
      </c>
      <c r="J563" s="16">
        <f t="shared" si="34"/>
        <v>1549.8000000000002</v>
      </c>
      <c r="K563" s="2">
        <f t="shared" si="35"/>
        <v>29446.2</v>
      </c>
    </row>
    <row r="564" spans="1:11" ht="16.5" x14ac:dyDescent="0.3">
      <c r="A564" s="4">
        <v>42979</v>
      </c>
      <c r="B564" s="2" t="s">
        <v>25</v>
      </c>
      <c r="C564" s="2" t="s">
        <v>12</v>
      </c>
      <c r="D564" s="2" t="s">
        <v>30</v>
      </c>
      <c r="E564" s="16" t="s">
        <v>21</v>
      </c>
      <c r="F564" s="2">
        <v>623</v>
      </c>
      <c r="G564" s="2">
        <v>6</v>
      </c>
      <c r="H564" s="2">
        <f t="shared" si="32"/>
        <v>9</v>
      </c>
      <c r="I564" s="2">
        <f t="shared" si="33"/>
        <v>5607</v>
      </c>
      <c r="J564" s="16">
        <f t="shared" si="34"/>
        <v>280.35000000000002</v>
      </c>
      <c r="K564" s="2">
        <f t="shared" si="35"/>
        <v>5326.65</v>
      </c>
    </row>
    <row r="565" spans="1:11" ht="16.5" x14ac:dyDescent="0.3">
      <c r="A565" s="4">
        <v>43009</v>
      </c>
      <c r="B565" s="2" t="s">
        <v>11</v>
      </c>
      <c r="C565" s="2" t="s">
        <v>34</v>
      </c>
      <c r="D565" s="2" t="s">
        <v>16</v>
      </c>
      <c r="E565" s="16" t="s">
        <v>21</v>
      </c>
      <c r="F565" s="2">
        <v>986</v>
      </c>
      <c r="G565" s="2">
        <v>4</v>
      </c>
      <c r="H565" s="2">
        <f t="shared" si="32"/>
        <v>7</v>
      </c>
      <c r="I565" s="2">
        <f t="shared" si="33"/>
        <v>6902</v>
      </c>
      <c r="J565" s="16">
        <f t="shared" si="34"/>
        <v>345.1</v>
      </c>
      <c r="K565" s="2">
        <f t="shared" si="35"/>
        <v>6556.9</v>
      </c>
    </row>
    <row r="566" spans="1:11" ht="16.5" x14ac:dyDescent="0.3">
      <c r="A566" s="4">
        <v>43040</v>
      </c>
      <c r="B566" s="2" t="s">
        <v>27</v>
      </c>
      <c r="C566" s="2" t="s">
        <v>34</v>
      </c>
      <c r="D566" s="2" t="s">
        <v>35</v>
      </c>
      <c r="E566" s="16" t="s">
        <v>24</v>
      </c>
      <c r="F566" s="2">
        <v>2387</v>
      </c>
      <c r="G566" s="2">
        <v>25</v>
      </c>
      <c r="H566" s="2">
        <f t="shared" si="32"/>
        <v>35</v>
      </c>
      <c r="I566" s="2">
        <f t="shared" si="33"/>
        <v>83545</v>
      </c>
      <c r="J566" s="16">
        <f t="shared" si="34"/>
        <v>4177.25</v>
      </c>
      <c r="K566" s="2">
        <f t="shared" si="35"/>
        <v>79367.75</v>
      </c>
    </row>
    <row r="567" spans="1:11" ht="16.5" x14ac:dyDescent="0.3">
      <c r="A567" s="4">
        <v>43070</v>
      </c>
      <c r="B567" s="2" t="s">
        <v>25</v>
      </c>
      <c r="C567" s="2" t="s">
        <v>23</v>
      </c>
      <c r="D567" s="2" t="s">
        <v>22</v>
      </c>
      <c r="E567" s="16" t="s">
        <v>14</v>
      </c>
      <c r="F567" s="2">
        <v>1233</v>
      </c>
      <c r="G567" s="2">
        <v>3</v>
      </c>
      <c r="H567" s="2">
        <f t="shared" si="32"/>
        <v>23</v>
      </c>
      <c r="I567" s="2">
        <f t="shared" si="33"/>
        <v>28359</v>
      </c>
      <c r="J567" s="16">
        <f t="shared" si="34"/>
        <v>1417.95</v>
      </c>
      <c r="K567" s="2">
        <f t="shared" si="35"/>
        <v>26941.05</v>
      </c>
    </row>
    <row r="568" spans="1:11" ht="16.5" x14ac:dyDescent="0.3">
      <c r="A568" s="4">
        <v>42767</v>
      </c>
      <c r="B568" s="2" t="s">
        <v>27</v>
      </c>
      <c r="C568" s="2" t="s">
        <v>34</v>
      </c>
      <c r="D568" s="2" t="s">
        <v>22</v>
      </c>
      <c r="E568" s="16" t="s">
        <v>14</v>
      </c>
      <c r="F568" s="2">
        <v>270</v>
      </c>
      <c r="G568" s="2">
        <v>3</v>
      </c>
      <c r="H568" s="2">
        <f t="shared" si="32"/>
        <v>23</v>
      </c>
      <c r="I568" s="2">
        <f t="shared" si="33"/>
        <v>6210</v>
      </c>
      <c r="J568" s="16">
        <f t="shared" si="34"/>
        <v>310.5</v>
      </c>
      <c r="K568" s="2">
        <f t="shared" si="35"/>
        <v>5899.5</v>
      </c>
    </row>
    <row r="569" spans="1:11" ht="16.5" x14ac:dyDescent="0.3">
      <c r="A569" s="4">
        <v>42917</v>
      </c>
      <c r="B569" s="2" t="s">
        <v>31</v>
      </c>
      <c r="C569" s="2" t="s">
        <v>19</v>
      </c>
      <c r="D569" s="2" t="s">
        <v>33</v>
      </c>
      <c r="E569" s="16" t="s">
        <v>21</v>
      </c>
      <c r="F569" s="2">
        <v>3421.5</v>
      </c>
      <c r="G569" s="2">
        <v>20</v>
      </c>
      <c r="H569" s="2">
        <f t="shared" si="32"/>
        <v>23</v>
      </c>
      <c r="I569" s="2">
        <f t="shared" si="33"/>
        <v>78694.5</v>
      </c>
      <c r="J569" s="16">
        <f t="shared" si="34"/>
        <v>3934.7250000000004</v>
      </c>
      <c r="K569" s="2">
        <f t="shared" si="35"/>
        <v>74759.774999999994</v>
      </c>
    </row>
    <row r="570" spans="1:11" ht="16.5" x14ac:dyDescent="0.3">
      <c r="A570" s="4">
        <v>43009</v>
      </c>
      <c r="B570" s="2" t="s">
        <v>11</v>
      </c>
      <c r="C570" s="2" t="s">
        <v>12</v>
      </c>
      <c r="D570" s="2" t="s">
        <v>16</v>
      </c>
      <c r="E570" s="16" t="s">
        <v>21</v>
      </c>
      <c r="F570" s="2">
        <v>2734</v>
      </c>
      <c r="G570" s="2">
        <v>4</v>
      </c>
      <c r="H570" s="2">
        <f t="shared" si="32"/>
        <v>7</v>
      </c>
      <c r="I570" s="2">
        <f t="shared" si="33"/>
        <v>19138</v>
      </c>
      <c r="J570" s="16">
        <f t="shared" si="34"/>
        <v>956.90000000000009</v>
      </c>
      <c r="K570" s="2">
        <f t="shared" si="35"/>
        <v>18181.099999999999</v>
      </c>
    </row>
    <row r="571" spans="1:11" ht="16.5" x14ac:dyDescent="0.3">
      <c r="A571" s="4">
        <v>43040</v>
      </c>
      <c r="B571" s="2" t="s">
        <v>27</v>
      </c>
      <c r="C571" s="2" t="s">
        <v>34</v>
      </c>
      <c r="D571" s="2" t="s">
        <v>13</v>
      </c>
      <c r="E571" s="16" t="s">
        <v>17</v>
      </c>
      <c r="F571" s="2">
        <v>2548</v>
      </c>
      <c r="G571" s="2">
        <v>30</v>
      </c>
      <c r="H571" s="2">
        <f t="shared" si="32"/>
        <v>45</v>
      </c>
      <c r="I571" s="2">
        <f t="shared" si="33"/>
        <v>114660</v>
      </c>
      <c r="J571" s="16">
        <f t="shared" si="34"/>
        <v>13759.199999999999</v>
      </c>
      <c r="K571" s="2">
        <f t="shared" si="35"/>
        <v>100900.8</v>
      </c>
    </row>
    <row r="572" spans="1:11" ht="16.5" x14ac:dyDescent="0.3">
      <c r="A572" s="4">
        <v>42736</v>
      </c>
      <c r="B572" s="2" t="s">
        <v>11</v>
      </c>
      <c r="C572" s="2" t="s">
        <v>19</v>
      </c>
      <c r="D572" s="2" t="s">
        <v>30</v>
      </c>
      <c r="E572" s="16" t="s">
        <v>17</v>
      </c>
      <c r="F572" s="2">
        <v>2521.5</v>
      </c>
      <c r="G572" s="2">
        <v>6</v>
      </c>
      <c r="H572" s="2">
        <f t="shared" si="32"/>
        <v>21</v>
      </c>
      <c r="I572" s="2">
        <f t="shared" si="33"/>
        <v>52951.5</v>
      </c>
      <c r="J572" s="16">
        <f t="shared" si="34"/>
        <v>2647.5750000000003</v>
      </c>
      <c r="K572" s="2">
        <f t="shared" si="35"/>
        <v>50303.925000000003</v>
      </c>
    </row>
    <row r="573" spans="1:11" ht="16.5" x14ac:dyDescent="0.3">
      <c r="A573" s="4">
        <v>42856</v>
      </c>
      <c r="B573" s="2" t="s">
        <v>37</v>
      </c>
      <c r="C573" s="2" t="s">
        <v>23</v>
      </c>
      <c r="D573" s="2" t="s">
        <v>30</v>
      </c>
      <c r="E573" s="16" t="s">
        <v>21</v>
      </c>
      <c r="F573" s="2">
        <v>2661</v>
      </c>
      <c r="G573" s="2">
        <v>6</v>
      </c>
      <c r="H573" s="2">
        <f t="shared" si="32"/>
        <v>9</v>
      </c>
      <c r="I573" s="2">
        <f t="shared" si="33"/>
        <v>23949</v>
      </c>
      <c r="J573" s="16">
        <f t="shared" si="34"/>
        <v>1197.45</v>
      </c>
      <c r="K573" s="2">
        <f t="shared" si="35"/>
        <v>22751.55</v>
      </c>
    </row>
    <row r="574" spans="1:11" ht="16.5" x14ac:dyDescent="0.3">
      <c r="A574" s="4">
        <v>43070</v>
      </c>
      <c r="B574" s="2" t="s">
        <v>25</v>
      </c>
      <c r="C574" s="2" t="s">
        <v>15</v>
      </c>
      <c r="D574" s="2" t="s">
        <v>20</v>
      </c>
      <c r="E574" s="16" t="s">
        <v>21</v>
      </c>
      <c r="F574" s="2">
        <v>1531</v>
      </c>
      <c r="G574" s="2">
        <v>5</v>
      </c>
      <c r="H574" s="2">
        <f t="shared" si="32"/>
        <v>8</v>
      </c>
      <c r="I574" s="2">
        <f t="shared" si="33"/>
        <v>12248</v>
      </c>
      <c r="J574" s="16">
        <f t="shared" si="34"/>
        <v>612.4</v>
      </c>
      <c r="K574" s="2">
        <f t="shared" si="35"/>
        <v>11635.6</v>
      </c>
    </row>
    <row r="575" spans="1:11" ht="16.5" x14ac:dyDescent="0.3">
      <c r="A575" s="4">
        <v>42795</v>
      </c>
      <c r="B575" s="2" t="s">
        <v>27</v>
      </c>
      <c r="C575" s="2" t="s">
        <v>19</v>
      </c>
      <c r="D575" s="2" t="s">
        <v>30</v>
      </c>
      <c r="E575" s="16" t="s">
        <v>21</v>
      </c>
      <c r="F575" s="2">
        <v>1491</v>
      </c>
      <c r="G575" s="2">
        <v>6</v>
      </c>
      <c r="H575" s="2">
        <f t="shared" si="32"/>
        <v>9</v>
      </c>
      <c r="I575" s="2">
        <f t="shared" si="33"/>
        <v>13419</v>
      </c>
      <c r="J575" s="16">
        <f t="shared" si="34"/>
        <v>670.95</v>
      </c>
      <c r="K575" s="2">
        <f t="shared" si="35"/>
        <v>12748.05</v>
      </c>
    </row>
    <row r="576" spans="1:11" ht="16.5" x14ac:dyDescent="0.3">
      <c r="A576" s="4">
        <v>43070</v>
      </c>
      <c r="B576" s="2" t="s">
        <v>25</v>
      </c>
      <c r="C576" s="2" t="s">
        <v>15</v>
      </c>
      <c r="D576" s="2" t="s">
        <v>26</v>
      </c>
      <c r="E576" s="16" t="s">
        <v>21</v>
      </c>
      <c r="F576" s="2">
        <v>1531</v>
      </c>
      <c r="G576" s="2">
        <v>2</v>
      </c>
      <c r="H576" s="2">
        <f t="shared" si="32"/>
        <v>5</v>
      </c>
      <c r="I576" s="2">
        <f t="shared" si="33"/>
        <v>7655</v>
      </c>
      <c r="J576" s="16">
        <f t="shared" si="34"/>
        <v>382.75</v>
      </c>
      <c r="K576" s="2">
        <f t="shared" si="35"/>
        <v>7272.25</v>
      </c>
    </row>
    <row r="577" spans="1:11" ht="16.5" x14ac:dyDescent="0.3">
      <c r="A577" s="4">
        <v>42979</v>
      </c>
      <c r="B577" s="2" t="s">
        <v>25</v>
      </c>
      <c r="C577" s="2" t="s">
        <v>12</v>
      </c>
      <c r="D577" s="2" t="s">
        <v>29</v>
      </c>
      <c r="E577" s="16" t="s">
        <v>24</v>
      </c>
      <c r="F577" s="2">
        <v>2761</v>
      </c>
      <c r="G577" s="2">
        <v>40</v>
      </c>
      <c r="H577" s="2">
        <f t="shared" si="32"/>
        <v>50</v>
      </c>
      <c r="I577" s="2">
        <f t="shared" si="33"/>
        <v>138050</v>
      </c>
      <c r="J577" s="16">
        <f t="shared" si="34"/>
        <v>6902.5</v>
      </c>
      <c r="K577" s="2">
        <f t="shared" si="35"/>
        <v>131147.5</v>
      </c>
    </row>
    <row r="578" spans="1:11" ht="16.5" x14ac:dyDescent="0.3">
      <c r="A578" s="4">
        <v>42887</v>
      </c>
      <c r="B578" s="2" t="s">
        <v>18</v>
      </c>
      <c r="C578" s="2" t="s">
        <v>34</v>
      </c>
      <c r="D578" s="2" t="s">
        <v>29</v>
      </c>
      <c r="E578" s="16" t="s">
        <v>14</v>
      </c>
      <c r="F578" s="2">
        <v>2567</v>
      </c>
      <c r="G578" s="2">
        <v>40</v>
      </c>
      <c r="H578" s="2">
        <f t="shared" si="32"/>
        <v>60</v>
      </c>
      <c r="I578" s="2">
        <f t="shared" si="33"/>
        <v>154020</v>
      </c>
      <c r="J578" s="16">
        <f t="shared" si="34"/>
        <v>7701</v>
      </c>
      <c r="K578" s="2">
        <f t="shared" si="35"/>
        <v>146319</v>
      </c>
    </row>
    <row r="579" spans="1:11" ht="16.5" x14ac:dyDescent="0.3">
      <c r="A579" s="4">
        <v>42887</v>
      </c>
      <c r="B579" s="2" t="s">
        <v>18</v>
      </c>
      <c r="C579" s="2" t="s">
        <v>34</v>
      </c>
      <c r="D579" s="2" t="s">
        <v>20</v>
      </c>
      <c r="E579" s="16" t="s">
        <v>14</v>
      </c>
      <c r="F579" s="2">
        <v>2567</v>
      </c>
      <c r="G579" s="2">
        <v>5</v>
      </c>
      <c r="H579" s="2">
        <f t="shared" ref="H579:H642" si="36">IF(E579="High",G579+20,IF(E579="Medium",G579+15,IF(E579="Low",G579+10,G579+3)))</f>
        <v>25</v>
      </c>
      <c r="I579" s="2">
        <f t="shared" ref="I579:I642" si="37">F579*H579</f>
        <v>64175</v>
      </c>
      <c r="J579" s="16">
        <f t="shared" ref="J579:J642" si="38">IF(AND(D579="Note Book",F579&gt;2500),I579*12%,IF(AND(E579="Long Note Book",N579&lt;1800),I579*8%,I579*5%))</f>
        <v>3208.75</v>
      </c>
      <c r="K579" s="2">
        <f t="shared" ref="K579:K642" si="39">I579-J579</f>
        <v>60966.25</v>
      </c>
    </row>
    <row r="580" spans="1:11" ht="16.5" x14ac:dyDescent="0.3">
      <c r="A580" s="4">
        <v>42795</v>
      </c>
      <c r="B580" s="2" t="s">
        <v>27</v>
      </c>
      <c r="C580" s="2" t="s">
        <v>12</v>
      </c>
      <c r="D580" s="2" t="s">
        <v>29</v>
      </c>
      <c r="E580" s="16" t="s">
        <v>21</v>
      </c>
      <c r="F580" s="2">
        <v>923</v>
      </c>
      <c r="G580" s="2">
        <v>40</v>
      </c>
      <c r="H580" s="2">
        <f t="shared" si="36"/>
        <v>43</v>
      </c>
      <c r="I580" s="2">
        <f t="shared" si="37"/>
        <v>39689</v>
      </c>
      <c r="J580" s="16">
        <f t="shared" si="38"/>
        <v>1984.45</v>
      </c>
      <c r="K580" s="2">
        <f t="shared" si="39"/>
        <v>37704.550000000003</v>
      </c>
    </row>
    <row r="581" spans="1:11" ht="16.5" x14ac:dyDescent="0.3">
      <c r="A581" s="4">
        <v>42795</v>
      </c>
      <c r="B581" s="2" t="s">
        <v>27</v>
      </c>
      <c r="C581" s="2" t="s">
        <v>19</v>
      </c>
      <c r="D581" s="2" t="s">
        <v>13</v>
      </c>
      <c r="E581" s="16" t="s">
        <v>21</v>
      </c>
      <c r="F581" s="2">
        <v>1790</v>
      </c>
      <c r="G581" s="2">
        <v>30</v>
      </c>
      <c r="H581" s="2">
        <f t="shared" si="36"/>
        <v>33</v>
      </c>
      <c r="I581" s="2">
        <f t="shared" si="37"/>
        <v>59070</v>
      </c>
      <c r="J581" s="16">
        <f t="shared" si="38"/>
        <v>2953.5</v>
      </c>
      <c r="K581" s="2">
        <f t="shared" si="39"/>
        <v>56116.5</v>
      </c>
    </row>
    <row r="582" spans="1:11" ht="16.5" x14ac:dyDescent="0.3">
      <c r="A582" s="4">
        <v>42979</v>
      </c>
      <c r="B582" s="2" t="s">
        <v>25</v>
      </c>
      <c r="C582" s="2" t="s">
        <v>15</v>
      </c>
      <c r="D582" s="2" t="s">
        <v>29</v>
      </c>
      <c r="E582" s="16" t="s">
        <v>17</v>
      </c>
      <c r="F582" s="2">
        <v>442</v>
      </c>
      <c r="G582" s="2">
        <v>40</v>
      </c>
      <c r="H582" s="2">
        <f t="shared" si="36"/>
        <v>55</v>
      </c>
      <c r="I582" s="2">
        <f t="shared" si="37"/>
        <v>24310</v>
      </c>
      <c r="J582" s="16">
        <f t="shared" si="38"/>
        <v>1215.5</v>
      </c>
      <c r="K582" s="2">
        <f t="shared" si="39"/>
        <v>23094.5</v>
      </c>
    </row>
    <row r="583" spans="1:11" ht="16.5" x14ac:dyDescent="0.3">
      <c r="A583" s="4">
        <v>42736</v>
      </c>
      <c r="B583" s="2" t="s">
        <v>11</v>
      </c>
      <c r="C583" s="2" t="s">
        <v>34</v>
      </c>
      <c r="D583" s="2" t="s">
        <v>22</v>
      </c>
      <c r="E583" s="16" t="s">
        <v>17</v>
      </c>
      <c r="F583" s="2">
        <v>982.5</v>
      </c>
      <c r="G583" s="2">
        <v>3</v>
      </c>
      <c r="H583" s="2">
        <f t="shared" si="36"/>
        <v>18</v>
      </c>
      <c r="I583" s="2">
        <f t="shared" si="37"/>
        <v>17685</v>
      </c>
      <c r="J583" s="16">
        <f t="shared" si="38"/>
        <v>884.25</v>
      </c>
      <c r="K583" s="2">
        <f t="shared" si="39"/>
        <v>16800.75</v>
      </c>
    </row>
    <row r="584" spans="1:11" ht="16.5" x14ac:dyDescent="0.3">
      <c r="A584" s="4">
        <v>42767</v>
      </c>
      <c r="B584" s="2" t="s">
        <v>27</v>
      </c>
      <c r="C584" s="2" t="s">
        <v>34</v>
      </c>
      <c r="D584" s="2" t="s">
        <v>22</v>
      </c>
      <c r="E584" s="16" t="s">
        <v>21</v>
      </c>
      <c r="F584" s="2">
        <v>1298</v>
      </c>
      <c r="G584" s="2">
        <v>3</v>
      </c>
      <c r="H584" s="2">
        <f t="shared" si="36"/>
        <v>6</v>
      </c>
      <c r="I584" s="2">
        <f t="shared" si="37"/>
        <v>7788</v>
      </c>
      <c r="J584" s="16">
        <f t="shared" si="38"/>
        <v>389.40000000000003</v>
      </c>
      <c r="K584" s="2">
        <f t="shared" si="39"/>
        <v>7398.6</v>
      </c>
    </row>
    <row r="585" spans="1:11" ht="16.5" x14ac:dyDescent="0.3">
      <c r="A585" s="4">
        <v>42887</v>
      </c>
      <c r="B585" s="2" t="s">
        <v>18</v>
      </c>
      <c r="C585" s="2" t="s">
        <v>23</v>
      </c>
      <c r="D585" s="2" t="s">
        <v>26</v>
      </c>
      <c r="E585" s="16" t="s">
        <v>21</v>
      </c>
      <c r="F585" s="2">
        <v>604</v>
      </c>
      <c r="G585" s="2">
        <v>2</v>
      </c>
      <c r="H585" s="2">
        <f t="shared" si="36"/>
        <v>5</v>
      </c>
      <c r="I585" s="2">
        <f t="shared" si="37"/>
        <v>3020</v>
      </c>
      <c r="J585" s="16">
        <f t="shared" si="38"/>
        <v>151</v>
      </c>
      <c r="K585" s="2">
        <f t="shared" si="39"/>
        <v>2869</v>
      </c>
    </row>
    <row r="586" spans="1:11" ht="16.5" x14ac:dyDescent="0.3">
      <c r="A586" s="4">
        <v>42917</v>
      </c>
      <c r="B586" s="2" t="s">
        <v>31</v>
      </c>
      <c r="C586" s="2" t="s">
        <v>23</v>
      </c>
      <c r="D586" s="2" t="s">
        <v>35</v>
      </c>
      <c r="E586" s="16" t="s">
        <v>21</v>
      </c>
      <c r="F586" s="2">
        <v>2255</v>
      </c>
      <c r="G586" s="2">
        <v>25</v>
      </c>
      <c r="H586" s="2">
        <f t="shared" si="36"/>
        <v>28</v>
      </c>
      <c r="I586" s="2">
        <f t="shared" si="37"/>
        <v>63140</v>
      </c>
      <c r="J586" s="16">
        <f t="shared" si="38"/>
        <v>3157</v>
      </c>
      <c r="K586" s="2">
        <f t="shared" si="39"/>
        <v>59983</v>
      </c>
    </row>
    <row r="587" spans="1:11" ht="16.5" x14ac:dyDescent="0.3">
      <c r="A587" s="4">
        <v>43009</v>
      </c>
      <c r="B587" s="2" t="s">
        <v>11</v>
      </c>
      <c r="C587" s="2" t="s">
        <v>12</v>
      </c>
      <c r="D587" s="2" t="s">
        <v>30</v>
      </c>
      <c r="E587" s="16" t="s">
        <v>24</v>
      </c>
      <c r="F587" s="2">
        <v>1249</v>
      </c>
      <c r="G587" s="2">
        <v>6</v>
      </c>
      <c r="H587" s="2">
        <f t="shared" si="36"/>
        <v>16</v>
      </c>
      <c r="I587" s="2">
        <f t="shared" si="37"/>
        <v>19984</v>
      </c>
      <c r="J587" s="16">
        <f t="shared" si="38"/>
        <v>999.2</v>
      </c>
      <c r="K587" s="2">
        <f t="shared" si="39"/>
        <v>18984.8</v>
      </c>
    </row>
    <row r="588" spans="1:11" ht="16.5" x14ac:dyDescent="0.3">
      <c r="A588" s="4">
        <v>42736</v>
      </c>
      <c r="B588" s="2" t="s">
        <v>11</v>
      </c>
      <c r="C588" s="2" t="s">
        <v>34</v>
      </c>
      <c r="D588" s="2" t="s">
        <v>36</v>
      </c>
      <c r="E588" s="16" t="s">
        <v>14</v>
      </c>
      <c r="F588" s="2">
        <v>1438.5</v>
      </c>
      <c r="G588" s="2">
        <v>10</v>
      </c>
      <c r="H588" s="2">
        <f t="shared" si="36"/>
        <v>30</v>
      </c>
      <c r="I588" s="2">
        <f t="shared" si="37"/>
        <v>43155</v>
      </c>
      <c r="J588" s="16">
        <f t="shared" si="38"/>
        <v>2157.75</v>
      </c>
      <c r="K588" s="2">
        <f t="shared" si="39"/>
        <v>40997.25</v>
      </c>
    </row>
    <row r="589" spans="1:11" ht="16.5" x14ac:dyDescent="0.3">
      <c r="A589" s="4">
        <v>42736</v>
      </c>
      <c r="B589" s="2" t="s">
        <v>11</v>
      </c>
      <c r="C589" s="2" t="s">
        <v>15</v>
      </c>
      <c r="D589" s="2" t="s">
        <v>33</v>
      </c>
      <c r="E589" s="16" t="s">
        <v>14</v>
      </c>
      <c r="F589" s="2">
        <v>807</v>
      </c>
      <c r="G589" s="2">
        <v>20</v>
      </c>
      <c r="H589" s="2">
        <f t="shared" si="36"/>
        <v>40</v>
      </c>
      <c r="I589" s="2">
        <f t="shared" si="37"/>
        <v>32280</v>
      </c>
      <c r="J589" s="16">
        <f t="shared" si="38"/>
        <v>1614</v>
      </c>
      <c r="K589" s="2">
        <f t="shared" si="39"/>
        <v>30666</v>
      </c>
    </row>
    <row r="590" spans="1:11" ht="16.5" x14ac:dyDescent="0.3">
      <c r="A590" s="4">
        <v>42767</v>
      </c>
      <c r="B590" s="2" t="s">
        <v>27</v>
      </c>
      <c r="C590" s="2" t="s">
        <v>34</v>
      </c>
      <c r="D590" s="2" t="s">
        <v>26</v>
      </c>
      <c r="E590" s="16" t="s">
        <v>21</v>
      </c>
      <c r="F590" s="2">
        <v>2641</v>
      </c>
      <c r="G590" s="2">
        <v>2</v>
      </c>
      <c r="H590" s="2">
        <f t="shared" si="36"/>
        <v>5</v>
      </c>
      <c r="I590" s="2">
        <f t="shared" si="37"/>
        <v>13205</v>
      </c>
      <c r="J590" s="16">
        <f t="shared" si="38"/>
        <v>660.25</v>
      </c>
      <c r="K590" s="2">
        <f t="shared" si="39"/>
        <v>12544.75</v>
      </c>
    </row>
    <row r="591" spans="1:11" ht="16.5" x14ac:dyDescent="0.3">
      <c r="A591" s="4">
        <v>42767</v>
      </c>
      <c r="B591" s="2" t="s">
        <v>27</v>
      </c>
      <c r="C591" s="2" t="s">
        <v>15</v>
      </c>
      <c r="D591" s="2" t="s">
        <v>20</v>
      </c>
      <c r="E591" s="16" t="s">
        <v>21</v>
      </c>
      <c r="F591" s="2">
        <v>2708</v>
      </c>
      <c r="G591" s="2">
        <v>5</v>
      </c>
      <c r="H591" s="2">
        <f t="shared" si="36"/>
        <v>8</v>
      </c>
      <c r="I591" s="2">
        <f t="shared" si="37"/>
        <v>21664</v>
      </c>
      <c r="J591" s="16">
        <f t="shared" si="38"/>
        <v>1083.2</v>
      </c>
      <c r="K591" s="2">
        <f t="shared" si="39"/>
        <v>20580.8</v>
      </c>
    </row>
    <row r="592" spans="1:11" ht="16.5" x14ac:dyDescent="0.3">
      <c r="A592" s="4">
        <v>42887</v>
      </c>
      <c r="B592" s="2" t="s">
        <v>18</v>
      </c>
      <c r="C592" s="2" t="s">
        <v>12</v>
      </c>
      <c r="D592" s="2" t="s">
        <v>13</v>
      </c>
      <c r="E592" s="16" t="s">
        <v>17</v>
      </c>
      <c r="F592" s="2">
        <v>2632</v>
      </c>
      <c r="G592" s="2">
        <v>30</v>
      </c>
      <c r="H592" s="2">
        <f t="shared" si="36"/>
        <v>45</v>
      </c>
      <c r="I592" s="2">
        <f t="shared" si="37"/>
        <v>118440</v>
      </c>
      <c r="J592" s="16">
        <f t="shared" si="38"/>
        <v>14212.8</v>
      </c>
      <c r="K592" s="2">
        <f t="shared" si="39"/>
        <v>104227.2</v>
      </c>
    </row>
    <row r="593" spans="1:11" ht="16.5" x14ac:dyDescent="0.3">
      <c r="A593" s="4">
        <v>42887</v>
      </c>
      <c r="B593" s="2" t="s">
        <v>18</v>
      </c>
      <c r="C593" s="2" t="s">
        <v>12</v>
      </c>
      <c r="D593" s="2" t="s">
        <v>29</v>
      </c>
      <c r="E593" s="16" t="s">
        <v>17</v>
      </c>
      <c r="F593" s="2">
        <v>1583</v>
      </c>
      <c r="G593" s="2">
        <v>40</v>
      </c>
      <c r="H593" s="2">
        <f t="shared" si="36"/>
        <v>55</v>
      </c>
      <c r="I593" s="2">
        <f t="shared" si="37"/>
        <v>87065</v>
      </c>
      <c r="J593" s="16">
        <f t="shared" si="38"/>
        <v>4353.25</v>
      </c>
      <c r="K593" s="2">
        <f t="shared" si="39"/>
        <v>82711.75</v>
      </c>
    </row>
    <row r="594" spans="1:11" ht="16.5" x14ac:dyDescent="0.3">
      <c r="A594" s="4">
        <v>42917</v>
      </c>
      <c r="B594" s="2" t="s">
        <v>31</v>
      </c>
      <c r="C594" s="2" t="s">
        <v>23</v>
      </c>
      <c r="D594" s="2" t="s">
        <v>33</v>
      </c>
      <c r="E594" s="16" t="s">
        <v>21</v>
      </c>
      <c r="F594" s="2">
        <v>571</v>
      </c>
      <c r="G594" s="2">
        <v>20</v>
      </c>
      <c r="H594" s="2">
        <f t="shared" si="36"/>
        <v>23</v>
      </c>
      <c r="I594" s="2">
        <f t="shared" si="37"/>
        <v>13133</v>
      </c>
      <c r="J594" s="16">
        <f t="shared" si="38"/>
        <v>656.65000000000009</v>
      </c>
      <c r="K594" s="2">
        <f t="shared" si="39"/>
        <v>12476.35</v>
      </c>
    </row>
    <row r="595" spans="1:11" ht="16.5" x14ac:dyDescent="0.3">
      <c r="A595" s="4">
        <v>42948</v>
      </c>
      <c r="B595" s="2" t="s">
        <v>32</v>
      </c>
      <c r="C595" s="2" t="s">
        <v>19</v>
      </c>
      <c r="D595" s="2" t="s">
        <v>20</v>
      </c>
      <c r="E595" s="16" t="s">
        <v>21</v>
      </c>
      <c r="F595" s="2">
        <v>2696</v>
      </c>
      <c r="G595" s="2">
        <v>5</v>
      </c>
      <c r="H595" s="2">
        <f t="shared" si="36"/>
        <v>8</v>
      </c>
      <c r="I595" s="2">
        <f t="shared" si="37"/>
        <v>21568</v>
      </c>
      <c r="J595" s="16">
        <f t="shared" si="38"/>
        <v>1078.4000000000001</v>
      </c>
      <c r="K595" s="2">
        <f t="shared" si="39"/>
        <v>20489.599999999999</v>
      </c>
    </row>
    <row r="596" spans="1:11" ht="16.5" x14ac:dyDescent="0.3">
      <c r="A596" s="4">
        <v>43009</v>
      </c>
      <c r="B596" s="2" t="s">
        <v>11</v>
      </c>
      <c r="C596" s="2" t="s">
        <v>12</v>
      </c>
      <c r="D596" s="2" t="s">
        <v>16</v>
      </c>
      <c r="E596" s="16" t="s">
        <v>21</v>
      </c>
      <c r="F596" s="2">
        <v>1565</v>
      </c>
      <c r="G596" s="2">
        <v>4</v>
      </c>
      <c r="H596" s="2">
        <f t="shared" si="36"/>
        <v>7</v>
      </c>
      <c r="I596" s="2">
        <f t="shared" si="37"/>
        <v>10955</v>
      </c>
      <c r="J596" s="16">
        <f t="shared" si="38"/>
        <v>547.75</v>
      </c>
      <c r="K596" s="2">
        <f t="shared" si="39"/>
        <v>10407.25</v>
      </c>
    </row>
    <row r="597" spans="1:11" ht="16.5" x14ac:dyDescent="0.3">
      <c r="A597" s="4">
        <v>43009</v>
      </c>
      <c r="B597" s="2" t="s">
        <v>11</v>
      </c>
      <c r="C597" s="2" t="s">
        <v>12</v>
      </c>
      <c r="D597" s="2" t="s">
        <v>33</v>
      </c>
      <c r="E597" s="16" t="s">
        <v>21</v>
      </c>
      <c r="F597" s="2">
        <v>1249</v>
      </c>
      <c r="G597" s="2">
        <v>20</v>
      </c>
      <c r="H597" s="2">
        <f t="shared" si="36"/>
        <v>23</v>
      </c>
      <c r="I597" s="2">
        <f t="shared" si="37"/>
        <v>28727</v>
      </c>
      <c r="J597" s="16">
        <f t="shared" si="38"/>
        <v>1436.3500000000001</v>
      </c>
      <c r="K597" s="2">
        <f t="shared" si="39"/>
        <v>27290.65</v>
      </c>
    </row>
    <row r="598" spans="1:11" ht="16.5" x14ac:dyDescent="0.3">
      <c r="A598" s="4">
        <v>43040</v>
      </c>
      <c r="B598" s="2" t="s">
        <v>27</v>
      </c>
      <c r="C598" s="2" t="s">
        <v>15</v>
      </c>
      <c r="D598" s="2" t="s">
        <v>22</v>
      </c>
      <c r="E598" s="16" t="s">
        <v>24</v>
      </c>
      <c r="F598" s="2">
        <v>357</v>
      </c>
      <c r="G598" s="2">
        <v>3</v>
      </c>
      <c r="H598" s="2">
        <f t="shared" si="36"/>
        <v>13</v>
      </c>
      <c r="I598" s="2">
        <f t="shared" si="37"/>
        <v>4641</v>
      </c>
      <c r="J598" s="16">
        <f t="shared" si="38"/>
        <v>232.05</v>
      </c>
      <c r="K598" s="2">
        <f t="shared" si="39"/>
        <v>4408.95</v>
      </c>
    </row>
    <row r="599" spans="1:11" ht="16.5" x14ac:dyDescent="0.3">
      <c r="A599" s="4">
        <v>43070</v>
      </c>
      <c r="B599" s="2" t="s">
        <v>25</v>
      </c>
      <c r="C599" s="2" t="s">
        <v>15</v>
      </c>
      <c r="D599" s="2" t="s">
        <v>33</v>
      </c>
      <c r="E599" s="16" t="s">
        <v>14</v>
      </c>
      <c r="F599" s="2">
        <v>1013</v>
      </c>
      <c r="G599" s="2">
        <v>20</v>
      </c>
      <c r="H599" s="2">
        <f t="shared" si="36"/>
        <v>40</v>
      </c>
      <c r="I599" s="2">
        <f t="shared" si="37"/>
        <v>40520</v>
      </c>
      <c r="J599" s="16">
        <f t="shared" si="38"/>
        <v>2026</v>
      </c>
      <c r="K599" s="2">
        <f t="shared" si="39"/>
        <v>38494</v>
      </c>
    </row>
    <row r="600" spans="1:11" ht="16.5" x14ac:dyDescent="0.3">
      <c r="A600" s="4">
        <v>42736</v>
      </c>
      <c r="B600" s="2" t="s">
        <v>11</v>
      </c>
      <c r="C600" s="2" t="s">
        <v>19</v>
      </c>
      <c r="D600" s="2" t="s">
        <v>33</v>
      </c>
      <c r="E600" s="16" t="s">
        <v>14</v>
      </c>
      <c r="F600" s="2">
        <v>3997.5</v>
      </c>
      <c r="G600" s="2">
        <v>20</v>
      </c>
      <c r="H600" s="2">
        <f t="shared" si="36"/>
        <v>40</v>
      </c>
      <c r="I600" s="2">
        <f t="shared" si="37"/>
        <v>159900</v>
      </c>
      <c r="J600" s="16">
        <f t="shared" si="38"/>
        <v>7995</v>
      </c>
      <c r="K600" s="2">
        <f t="shared" si="39"/>
        <v>151905</v>
      </c>
    </row>
    <row r="601" spans="1:11" ht="16.5" x14ac:dyDescent="0.3">
      <c r="A601" s="4">
        <v>42887</v>
      </c>
      <c r="B601" s="2" t="s">
        <v>18</v>
      </c>
      <c r="C601" s="2" t="s">
        <v>12</v>
      </c>
      <c r="D601" s="2" t="s">
        <v>20</v>
      </c>
      <c r="E601" s="16" t="s">
        <v>21</v>
      </c>
      <c r="F601" s="2">
        <v>2632</v>
      </c>
      <c r="G601" s="2">
        <v>5</v>
      </c>
      <c r="H601" s="2">
        <f t="shared" si="36"/>
        <v>8</v>
      </c>
      <c r="I601" s="2">
        <f t="shared" si="37"/>
        <v>21056</v>
      </c>
      <c r="J601" s="16">
        <f t="shared" si="38"/>
        <v>1052.8</v>
      </c>
      <c r="K601" s="2">
        <f t="shared" si="39"/>
        <v>20003.2</v>
      </c>
    </row>
    <row r="602" spans="1:11" ht="16.5" x14ac:dyDescent="0.3">
      <c r="A602" s="4">
        <v>42887</v>
      </c>
      <c r="B602" s="2" t="s">
        <v>18</v>
      </c>
      <c r="C602" s="2" t="s">
        <v>19</v>
      </c>
      <c r="D602" s="2" t="s">
        <v>26</v>
      </c>
      <c r="E602" s="16" t="s">
        <v>21</v>
      </c>
      <c r="F602" s="2">
        <v>1190</v>
      </c>
      <c r="G602" s="2">
        <v>2</v>
      </c>
      <c r="H602" s="2">
        <f t="shared" si="36"/>
        <v>5</v>
      </c>
      <c r="I602" s="2">
        <f t="shared" si="37"/>
        <v>5950</v>
      </c>
      <c r="J602" s="16">
        <f t="shared" si="38"/>
        <v>297.5</v>
      </c>
      <c r="K602" s="2">
        <f t="shared" si="39"/>
        <v>5652.5</v>
      </c>
    </row>
    <row r="603" spans="1:11" ht="16.5" x14ac:dyDescent="0.3">
      <c r="A603" s="4">
        <v>42887</v>
      </c>
      <c r="B603" s="2" t="s">
        <v>18</v>
      </c>
      <c r="C603" s="2" t="s">
        <v>23</v>
      </c>
      <c r="D603" s="2" t="s">
        <v>29</v>
      </c>
      <c r="E603" s="16" t="s">
        <v>17</v>
      </c>
      <c r="F603" s="2">
        <v>604</v>
      </c>
      <c r="G603" s="2">
        <v>40</v>
      </c>
      <c r="H603" s="2">
        <f t="shared" si="36"/>
        <v>55</v>
      </c>
      <c r="I603" s="2">
        <f t="shared" si="37"/>
        <v>33220</v>
      </c>
      <c r="J603" s="16">
        <f t="shared" si="38"/>
        <v>1661</v>
      </c>
      <c r="K603" s="2">
        <f t="shared" si="39"/>
        <v>31559</v>
      </c>
    </row>
    <row r="604" spans="1:11" ht="16.5" x14ac:dyDescent="0.3">
      <c r="A604" s="4">
        <v>42979</v>
      </c>
      <c r="B604" s="2" t="s">
        <v>25</v>
      </c>
      <c r="C604" s="2" t="s">
        <v>15</v>
      </c>
      <c r="D604" s="2" t="s">
        <v>16</v>
      </c>
      <c r="E604" s="16" t="s">
        <v>17</v>
      </c>
      <c r="F604" s="2">
        <v>660</v>
      </c>
      <c r="G604" s="2">
        <v>4</v>
      </c>
      <c r="H604" s="2">
        <f t="shared" si="36"/>
        <v>19</v>
      </c>
      <c r="I604" s="2">
        <f t="shared" si="37"/>
        <v>12540</v>
      </c>
      <c r="J604" s="16">
        <f t="shared" si="38"/>
        <v>627</v>
      </c>
      <c r="K604" s="2">
        <f t="shared" si="39"/>
        <v>11913</v>
      </c>
    </row>
    <row r="605" spans="1:11" ht="16.5" x14ac:dyDescent="0.3">
      <c r="A605" s="4">
        <v>43009</v>
      </c>
      <c r="B605" s="2" t="s">
        <v>11</v>
      </c>
      <c r="C605" s="2" t="s">
        <v>23</v>
      </c>
      <c r="D605" s="2" t="s">
        <v>22</v>
      </c>
      <c r="E605" s="16" t="s">
        <v>21</v>
      </c>
      <c r="F605" s="2">
        <v>410</v>
      </c>
      <c r="G605" s="2">
        <v>3</v>
      </c>
      <c r="H605" s="2">
        <f t="shared" si="36"/>
        <v>6</v>
      </c>
      <c r="I605" s="2">
        <f t="shared" si="37"/>
        <v>2460</v>
      </c>
      <c r="J605" s="16">
        <f t="shared" si="38"/>
        <v>123</v>
      </c>
      <c r="K605" s="2">
        <f t="shared" si="39"/>
        <v>2337</v>
      </c>
    </row>
    <row r="606" spans="1:11" ht="16.5" x14ac:dyDescent="0.3">
      <c r="A606" s="4">
        <v>43040</v>
      </c>
      <c r="B606" s="2" t="s">
        <v>27</v>
      </c>
      <c r="C606" s="2" t="s">
        <v>23</v>
      </c>
      <c r="D606" s="2" t="s">
        <v>29</v>
      </c>
      <c r="E606" s="16" t="s">
        <v>21</v>
      </c>
      <c r="F606" s="2">
        <v>2605</v>
      </c>
      <c r="G606" s="2">
        <v>40</v>
      </c>
      <c r="H606" s="2">
        <f t="shared" si="36"/>
        <v>43</v>
      </c>
      <c r="I606" s="2">
        <f t="shared" si="37"/>
        <v>112015</v>
      </c>
      <c r="J606" s="16">
        <f t="shared" si="38"/>
        <v>5600.75</v>
      </c>
      <c r="K606" s="2">
        <f t="shared" si="39"/>
        <v>106414.25</v>
      </c>
    </row>
    <row r="607" spans="1:11" ht="16.5" x14ac:dyDescent="0.3">
      <c r="A607" s="4">
        <v>43070</v>
      </c>
      <c r="B607" s="2" t="s">
        <v>25</v>
      </c>
      <c r="C607" s="2" t="s">
        <v>15</v>
      </c>
      <c r="D607" s="2" t="s">
        <v>29</v>
      </c>
      <c r="E607" s="16" t="s">
        <v>21</v>
      </c>
      <c r="F607" s="2">
        <v>1013</v>
      </c>
      <c r="G607" s="2">
        <v>40</v>
      </c>
      <c r="H607" s="2">
        <f t="shared" si="36"/>
        <v>43</v>
      </c>
      <c r="I607" s="2">
        <f t="shared" si="37"/>
        <v>43559</v>
      </c>
      <c r="J607" s="16">
        <f t="shared" si="38"/>
        <v>2177.9500000000003</v>
      </c>
      <c r="K607" s="2">
        <f t="shared" si="39"/>
        <v>41381.050000000003</v>
      </c>
    </row>
    <row r="608" spans="1:11" ht="16.5" x14ac:dyDescent="0.3">
      <c r="A608" s="4">
        <v>42887</v>
      </c>
      <c r="B608" s="2" t="s">
        <v>18</v>
      </c>
      <c r="C608" s="2" t="s">
        <v>12</v>
      </c>
      <c r="D608" s="2" t="s">
        <v>26</v>
      </c>
      <c r="E608" s="16" t="s">
        <v>24</v>
      </c>
      <c r="F608" s="2">
        <v>1583</v>
      </c>
      <c r="G608" s="2">
        <v>2</v>
      </c>
      <c r="H608" s="2">
        <f t="shared" si="36"/>
        <v>12</v>
      </c>
      <c r="I608" s="2">
        <f t="shared" si="37"/>
        <v>18996</v>
      </c>
      <c r="J608" s="16">
        <f t="shared" si="38"/>
        <v>949.80000000000007</v>
      </c>
      <c r="K608" s="2">
        <f t="shared" si="39"/>
        <v>18046.2</v>
      </c>
    </row>
    <row r="609" spans="1:11" ht="16.5" x14ac:dyDescent="0.3">
      <c r="A609" s="4">
        <v>43009</v>
      </c>
      <c r="B609" s="2" t="s">
        <v>11</v>
      </c>
      <c r="C609" s="2" t="s">
        <v>12</v>
      </c>
      <c r="D609" s="2" t="s">
        <v>20</v>
      </c>
      <c r="E609" s="16" t="s">
        <v>14</v>
      </c>
      <c r="F609" s="2">
        <v>1565</v>
      </c>
      <c r="G609" s="2">
        <v>5</v>
      </c>
      <c r="H609" s="2">
        <f t="shared" si="36"/>
        <v>25</v>
      </c>
      <c r="I609" s="2">
        <f t="shared" si="37"/>
        <v>39125</v>
      </c>
      <c r="J609" s="16">
        <f t="shared" si="38"/>
        <v>1956.25</v>
      </c>
      <c r="K609" s="2">
        <f t="shared" si="39"/>
        <v>37168.75</v>
      </c>
    </row>
    <row r="610" spans="1:11" ht="16.5" x14ac:dyDescent="0.3">
      <c r="A610" s="4">
        <v>42736</v>
      </c>
      <c r="B610" s="2" t="s">
        <v>11</v>
      </c>
      <c r="C610" s="2" t="s">
        <v>12</v>
      </c>
      <c r="D610" s="2" t="s">
        <v>35</v>
      </c>
      <c r="E610" s="16" t="s">
        <v>14</v>
      </c>
      <c r="F610" s="2">
        <v>1659</v>
      </c>
      <c r="G610" s="2">
        <v>25</v>
      </c>
      <c r="H610" s="2">
        <f t="shared" si="36"/>
        <v>45</v>
      </c>
      <c r="I610" s="2">
        <f t="shared" si="37"/>
        <v>74655</v>
      </c>
      <c r="J610" s="16">
        <f t="shared" si="38"/>
        <v>3732.75</v>
      </c>
      <c r="K610" s="2">
        <f t="shared" si="39"/>
        <v>70922.25</v>
      </c>
    </row>
    <row r="611" spans="1:11" ht="16.5" x14ac:dyDescent="0.3">
      <c r="A611" s="4">
        <v>42887</v>
      </c>
      <c r="B611" s="2" t="s">
        <v>18</v>
      </c>
      <c r="C611" s="2" t="s">
        <v>19</v>
      </c>
      <c r="D611" s="2" t="s">
        <v>30</v>
      </c>
      <c r="E611" s="16" t="s">
        <v>21</v>
      </c>
      <c r="F611" s="2">
        <v>1190</v>
      </c>
      <c r="G611" s="2">
        <v>6</v>
      </c>
      <c r="H611" s="2">
        <f t="shared" si="36"/>
        <v>9</v>
      </c>
      <c r="I611" s="2">
        <f t="shared" si="37"/>
        <v>10710</v>
      </c>
      <c r="J611" s="16">
        <f t="shared" si="38"/>
        <v>535.5</v>
      </c>
      <c r="K611" s="2">
        <f t="shared" si="39"/>
        <v>10174.5</v>
      </c>
    </row>
    <row r="612" spans="1:11" ht="16.5" x14ac:dyDescent="0.3">
      <c r="A612" s="4">
        <v>43009</v>
      </c>
      <c r="B612" s="2" t="s">
        <v>11</v>
      </c>
      <c r="C612" s="2" t="s">
        <v>23</v>
      </c>
      <c r="D612" s="2" t="s">
        <v>20</v>
      </c>
      <c r="E612" s="16" t="s">
        <v>21</v>
      </c>
      <c r="F612" s="2">
        <v>410</v>
      </c>
      <c r="G612" s="2">
        <v>5</v>
      </c>
      <c r="H612" s="2">
        <f t="shared" si="36"/>
        <v>8</v>
      </c>
      <c r="I612" s="2">
        <f t="shared" si="37"/>
        <v>3280</v>
      </c>
      <c r="J612" s="16">
        <f t="shared" si="38"/>
        <v>164</v>
      </c>
      <c r="K612" s="2">
        <f t="shared" si="39"/>
        <v>3116</v>
      </c>
    </row>
    <row r="613" spans="1:11" ht="16.5" x14ac:dyDescent="0.3">
      <c r="A613" s="4">
        <v>43070</v>
      </c>
      <c r="B613" s="2" t="s">
        <v>25</v>
      </c>
      <c r="C613" s="2" t="s">
        <v>15</v>
      </c>
      <c r="D613" s="2" t="s">
        <v>26</v>
      </c>
      <c r="E613" s="16" t="s">
        <v>17</v>
      </c>
      <c r="F613" s="2">
        <v>1770</v>
      </c>
      <c r="G613" s="2">
        <v>2</v>
      </c>
      <c r="H613" s="2">
        <f t="shared" si="36"/>
        <v>17</v>
      </c>
      <c r="I613" s="2">
        <f t="shared" si="37"/>
        <v>30090</v>
      </c>
      <c r="J613" s="16">
        <f t="shared" si="38"/>
        <v>1504.5</v>
      </c>
      <c r="K613" s="2">
        <f t="shared" si="39"/>
        <v>28585.5</v>
      </c>
    </row>
    <row r="614" spans="1:11" ht="16.5" x14ac:dyDescent="0.3">
      <c r="A614" s="4">
        <v>42826</v>
      </c>
      <c r="B614" s="2" t="s">
        <v>31</v>
      </c>
      <c r="C614" s="2" t="s">
        <v>23</v>
      </c>
      <c r="D614" s="2" t="s">
        <v>36</v>
      </c>
      <c r="E614" s="16" t="s">
        <v>17</v>
      </c>
      <c r="F614" s="2">
        <v>2579</v>
      </c>
      <c r="G614" s="2">
        <v>10</v>
      </c>
      <c r="H614" s="2">
        <f t="shared" si="36"/>
        <v>25</v>
      </c>
      <c r="I614" s="2">
        <f t="shared" si="37"/>
        <v>64475</v>
      </c>
      <c r="J614" s="16">
        <f t="shared" si="38"/>
        <v>3223.75</v>
      </c>
      <c r="K614" s="2">
        <f t="shared" si="39"/>
        <v>61251.25</v>
      </c>
    </row>
    <row r="615" spans="1:11" ht="16.5" x14ac:dyDescent="0.3">
      <c r="A615" s="4">
        <v>42856</v>
      </c>
      <c r="B615" s="2" t="s">
        <v>37</v>
      </c>
      <c r="C615" s="2" t="s">
        <v>34</v>
      </c>
      <c r="D615" s="2" t="s">
        <v>22</v>
      </c>
      <c r="E615" s="16" t="s">
        <v>21</v>
      </c>
      <c r="F615" s="2">
        <v>1743</v>
      </c>
      <c r="G615" s="2">
        <v>3</v>
      </c>
      <c r="H615" s="2">
        <f t="shared" si="36"/>
        <v>6</v>
      </c>
      <c r="I615" s="2">
        <f t="shared" si="37"/>
        <v>10458</v>
      </c>
      <c r="J615" s="16">
        <f t="shared" si="38"/>
        <v>522.9</v>
      </c>
      <c r="K615" s="2">
        <f t="shared" si="39"/>
        <v>9935.1</v>
      </c>
    </row>
    <row r="616" spans="1:11" ht="16.5" x14ac:dyDescent="0.3">
      <c r="A616" s="4">
        <v>43009</v>
      </c>
      <c r="B616" s="2" t="s">
        <v>11</v>
      </c>
      <c r="C616" s="2" t="s">
        <v>34</v>
      </c>
      <c r="D616" s="2" t="s">
        <v>26</v>
      </c>
      <c r="E616" s="16" t="s">
        <v>21</v>
      </c>
      <c r="F616" s="2">
        <v>2996</v>
      </c>
      <c r="G616" s="2">
        <v>2</v>
      </c>
      <c r="H616" s="2">
        <f t="shared" si="36"/>
        <v>5</v>
      </c>
      <c r="I616" s="2">
        <f t="shared" si="37"/>
        <v>14980</v>
      </c>
      <c r="J616" s="16">
        <f t="shared" si="38"/>
        <v>749</v>
      </c>
      <c r="K616" s="2">
        <f t="shared" si="39"/>
        <v>14231</v>
      </c>
    </row>
    <row r="617" spans="1:11" ht="16.5" x14ac:dyDescent="0.3">
      <c r="A617" s="4">
        <v>43070</v>
      </c>
      <c r="B617" s="2" t="s">
        <v>25</v>
      </c>
      <c r="C617" s="2" t="s">
        <v>15</v>
      </c>
      <c r="D617" s="2" t="s">
        <v>22</v>
      </c>
      <c r="E617" s="16" t="s">
        <v>21</v>
      </c>
      <c r="F617" s="2">
        <v>280</v>
      </c>
      <c r="G617" s="2">
        <v>3</v>
      </c>
      <c r="H617" s="2">
        <f t="shared" si="36"/>
        <v>6</v>
      </c>
      <c r="I617" s="2">
        <f t="shared" si="37"/>
        <v>1680</v>
      </c>
      <c r="J617" s="16">
        <f t="shared" si="38"/>
        <v>84</v>
      </c>
      <c r="K617" s="2">
        <f t="shared" si="39"/>
        <v>1596</v>
      </c>
    </row>
    <row r="618" spans="1:11" ht="16.5" x14ac:dyDescent="0.3">
      <c r="A618" s="4">
        <v>42767</v>
      </c>
      <c r="B618" s="2" t="s">
        <v>27</v>
      </c>
      <c r="C618" s="2" t="s">
        <v>19</v>
      </c>
      <c r="D618" s="2" t="s">
        <v>16</v>
      </c>
      <c r="E618" s="16" t="s">
        <v>21</v>
      </c>
      <c r="F618" s="2">
        <v>293</v>
      </c>
      <c r="G618" s="2">
        <v>4</v>
      </c>
      <c r="H618" s="2">
        <f t="shared" si="36"/>
        <v>7</v>
      </c>
      <c r="I618" s="2">
        <f t="shared" si="37"/>
        <v>2051</v>
      </c>
      <c r="J618" s="16">
        <f t="shared" si="38"/>
        <v>102.55000000000001</v>
      </c>
      <c r="K618" s="2">
        <f t="shared" si="39"/>
        <v>1948.45</v>
      </c>
    </row>
    <row r="619" spans="1:11" ht="16.5" x14ac:dyDescent="0.3">
      <c r="A619" s="4">
        <v>43009</v>
      </c>
      <c r="B619" s="2" t="s">
        <v>11</v>
      </c>
      <c r="C619" s="2" t="s">
        <v>34</v>
      </c>
      <c r="D619" s="2" t="s">
        <v>30</v>
      </c>
      <c r="E619" s="16" t="s">
        <v>24</v>
      </c>
      <c r="F619" s="2">
        <v>2996</v>
      </c>
      <c r="G619" s="2">
        <v>6</v>
      </c>
      <c r="H619" s="2">
        <f t="shared" si="36"/>
        <v>16</v>
      </c>
      <c r="I619" s="2">
        <f t="shared" si="37"/>
        <v>47936</v>
      </c>
      <c r="J619" s="16">
        <f t="shared" si="38"/>
        <v>2396.8000000000002</v>
      </c>
      <c r="K619" s="2">
        <f t="shared" si="39"/>
        <v>45539.199999999997</v>
      </c>
    </row>
    <row r="620" spans="1:11" ht="16.5" x14ac:dyDescent="0.3">
      <c r="A620" s="4">
        <v>42767</v>
      </c>
      <c r="B620" s="2" t="s">
        <v>27</v>
      </c>
      <c r="C620" s="2" t="s">
        <v>15</v>
      </c>
      <c r="D620" s="2" t="s">
        <v>16</v>
      </c>
      <c r="E620" s="16" t="s">
        <v>14</v>
      </c>
      <c r="F620" s="2">
        <v>278</v>
      </c>
      <c r="G620" s="2">
        <v>4</v>
      </c>
      <c r="H620" s="2">
        <f t="shared" si="36"/>
        <v>24</v>
      </c>
      <c r="I620" s="2">
        <f t="shared" si="37"/>
        <v>6672</v>
      </c>
      <c r="J620" s="16">
        <f t="shared" si="38"/>
        <v>333.6</v>
      </c>
      <c r="K620" s="2">
        <f t="shared" si="39"/>
        <v>6338.4</v>
      </c>
    </row>
    <row r="621" spans="1:11" ht="16.5" x14ac:dyDescent="0.3">
      <c r="A621" s="4">
        <v>42795</v>
      </c>
      <c r="B621" s="2" t="s">
        <v>27</v>
      </c>
      <c r="C621" s="2" t="s">
        <v>12</v>
      </c>
      <c r="D621" s="2" t="s">
        <v>13</v>
      </c>
      <c r="E621" s="16" t="s">
        <v>14</v>
      </c>
      <c r="F621" s="2">
        <v>2428</v>
      </c>
      <c r="G621" s="2">
        <v>30</v>
      </c>
      <c r="H621" s="2">
        <f t="shared" si="36"/>
        <v>50</v>
      </c>
      <c r="I621" s="2">
        <f t="shared" si="37"/>
        <v>121400</v>
      </c>
      <c r="J621" s="16">
        <f t="shared" si="38"/>
        <v>6070</v>
      </c>
      <c r="K621" s="2">
        <f t="shared" si="39"/>
        <v>115330</v>
      </c>
    </row>
    <row r="622" spans="1:11" ht="16.5" x14ac:dyDescent="0.3">
      <c r="A622" s="4">
        <v>42979</v>
      </c>
      <c r="B622" s="2" t="s">
        <v>25</v>
      </c>
      <c r="C622" s="2" t="s">
        <v>34</v>
      </c>
      <c r="D622" s="2" t="s">
        <v>28</v>
      </c>
      <c r="E622" s="16" t="s">
        <v>21</v>
      </c>
      <c r="F622" s="2">
        <v>1767</v>
      </c>
      <c r="G622" s="2">
        <v>120</v>
      </c>
      <c r="H622" s="2">
        <f t="shared" si="36"/>
        <v>123</v>
      </c>
      <c r="I622" s="2">
        <f t="shared" si="37"/>
        <v>217341</v>
      </c>
      <c r="J622" s="16">
        <f t="shared" si="38"/>
        <v>10867.050000000001</v>
      </c>
      <c r="K622" s="2">
        <f t="shared" si="39"/>
        <v>206473.95</v>
      </c>
    </row>
    <row r="623" spans="1:11" ht="16.5" x14ac:dyDescent="0.3">
      <c r="A623" s="4">
        <v>43009</v>
      </c>
      <c r="B623" s="2" t="s">
        <v>11</v>
      </c>
      <c r="C623" s="2" t="s">
        <v>19</v>
      </c>
      <c r="D623" s="2" t="s">
        <v>30</v>
      </c>
      <c r="E623" s="16" t="s">
        <v>21</v>
      </c>
      <c r="F623" s="2">
        <v>1393</v>
      </c>
      <c r="G623" s="2">
        <v>6</v>
      </c>
      <c r="H623" s="2">
        <f t="shared" si="36"/>
        <v>9</v>
      </c>
      <c r="I623" s="2">
        <f t="shared" si="37"/>
        <v>12537</v>
      </c>
      <c r="J623" s="16">
        <f t="shared" si="38"/>
        <v>626.85</v>
      </c>
      <c r="K623" s="2">
        <f t="shared" si="39"/>
        <v>11910.15</v>
      </c>
    </row>
    <row r="624" spans="1:11" ht="16.5" x14ac:dyDescent="0.3">
      <c r="A624" s="4">
        <v>43070</v>
      </c>
      <c r="B624" s="2" t="s">
        <v>25</v>
      </c>
      <c r="C624" s="2" t="s">
        <v>15</v>
      </c>
      <c r="D624" s="2" t="s">
        <v>30</v>
      </c>
      <c r="E624" s="16" t="s">
        <v>17</v>
      </c>
      <c r="F624" s="2">
        <v>280</v>
      </c>
      <c r="G624" s="2">
        <v>6</v>
      </c>
      <c r="H624" s="2">
        <f t="shared" si="36"/>
        <v>21</v>
      </c>
      <c r="I624" s="2">
        <f t="shared" si="37"/>
        <v>5880</v>
      </c>
      <c r="J624" s="16">
        <f t="shared" si="38"/>
        <v>294</v>
      </c>
      <c r="K624" s="2">
        <f t="shared" si="39"/>
        <v>5586</v>
      </c>
    </row>
    <row r="625" spans="1:11" ht="16.5" x14ac:dyDescent="0.3">
      <c r="A625" s="4">
        <v>43009</v>
      </c>
      <c r="B625" s="2" t="s">
        <v>11</v>
      </c>
      <c r="C625" s="2" t="s">
        <v>19</v>
      </c>
      <c r="D625" s="2" t="s">
        <v>16</v>
      </c>
      <c r="E625" s="16" t="s">
        <v>17</v>
      </c>
      <c r="F625" s="2">
        <v>1393</v>
      </c>
      <c r="G625" s="2">
        <v>4</v>
      </c>
      <c r="H625" s="2">
        <f t="shared" si="36"/>
        <v>19</v>
      </c>
      <c r="I625" s="2">
        <f t="shared" si="37"/>
        <v>26467</v>
      </c>
      <c r="J625" s="16">
        <f t="shared" si="38"/>
        <v>1323.3500000000001</v>
      </c>
      <c r="K625" s="2">
        <f t="shared" si="39"/>
        <v>25143.65</v>
      </c>
    </row>
    <row r="626" spans="1:11" ht="16.5" x14ac:dyDescent="0.3">
      <c r="A626" s="4">
        <v>43070</v>
      </c>
      <c r="B626" s="2" t="s">
        <v>25</v>
      </c>
      <c r="C626" s="2" t="s">
        <v>34</v>
      </c>
      <c r="D626" s="2" t="s">
        <v>16</v>
      </c>
      <c r="E626" s="16" t="s">
        <v>21</v>
      </c>
      <c r="F626" s="2">
        <v>2015</v>
      </c>
      <c r="G626" s="2">
        <v>4</v>
      </c>
      <c r="H626" s="2">
        <f t="shared" si="36"/>
        <v>7</v>
      </c>
      <c r="I626" s="2">
        <f t="shared" si="37"/>
        <v>14105</v>
      </c>
      <c r="J626" s="16">
        <f t="shared" si="38"/>
        <v>705.25</v>
      </c>
      <c r="K626" s="2">
        <f t="shared" si="39"/>
        <v>13399.75</v>
      </c>
    </row>
    <row r="627" spans="1:11" ht="16.5" x14ac:dyDescent="0.3">
      <c r="A627" s="4">
        <v>42917</v>
      </c>
      <c r="B627" s="2" t="s">
        <v>31</v>
      </c>
      <c r="C627" s="2" t="s">
        <v>23</v>
      </c>
      <c r="D627" s="2" t="s">
        <v>26</v>
      </c>
      <c r="E627" s="16" t="s">
        <v>21</v>
      </c>
      <c r="F627" s="2">
        <v>801</v>
      </c>
      <c r="G627" s="2">
        <v>2</v>
      </c>
      <c r="H627" s="2">
        <f t="shared" si="36"/>
        <v>5</v>
      </c>
      <c r="I627" s="2">
        <f t="shared" si="37"/>
        <v>4005</v>
      </c>
      <c r="J627" s="16">
        <f t="shared" si="38"/>
        <v>200.25</v>
      </c>
      <c r="K627" s="2">
        <f t="shared" si="39"/>
        <v>3804.75</v>
      </c>
    </row>
    <row r="628" spans="1:11" ht="16.5" x14ac:dyDescent="0.3">
      <c r="A628" s="4">
        <v>42979</v>
      </c>
      <c r="B628" s="2" t="s">
        <v>25</v>
      </c>
      <c r="C628" s="2" t="s">
        <v>19</v>
      </c>
      <c r="D628" s="2" t="s">
        <v>30</v>
      </c>
      <c r="E628" s="16" t="s">
        <v>21</v>
      </c>
      <c r="F628" s="2">
        <v>1023</v>
      </c>
      <c r="G628" s="2">
        <v>6</v>
      </c>
      <c r="H628" s="2">
        <f t="shared" si="36"/>
        <v>9</v>
      </c>
      <c r="I628" s="2">
        <f t="shared" si="37"/>
        <v>9207</v>
      </c>
      <c r="J628" s="16">
        <f t="shared" si="38"/>
        <v>460.35</v>
      </c>
      <c r="K628" s="2">
        <f t="shared" si="39"/>
        <v>8746.65</v>
      </c>
    </row>
    <row r="629" spans="1:11" ht="16.5" x14ac:dyDescent="0.3">
      <c r="A629" s="4">
        <v>43009</v>
      </c>
      <c r="B629" s="2" t="s">
        <v>11</v>
      </c>
      <c r="C629" s="2" t="s">
        <v>12</v>
      </c>
      <c r="D629" s="2" t="s">
        <v>22</v>
      </c>
      <c r="E629" s="16" t="s">
        <v>24</v>
      </c>
      <c r="F629" s="2">
        <v>1496</v>
      </c>
      <c r="G629" s="2">
        <v>3</v>
      </c>
      <c r="H629" s="2">
        <f t="shared" si="36"/>
        <v>13</v>
      </c>
      <c r="I629" s="2">
        <f t="shared" si="37"/>
        <v>19448</v>
      </c>
      <c r="J629" s="16">
        <f t="shared" si="38"/>
        <v>972.40000000000009</v>
      </c>
      <c r="K629" s="2">
        <f t="shared" si="39"/>
        <v>18475.599999999999</v>
      </c>
    </row>
    <row r="630" spans="1:11" ht="16.5" x14ac:dyDescent="0.3">
      <c r="A630" s="4">
        <v>43009</v>
      </c>
      <c r="B630" s="2" t="s">
        <v>11</v>
      </c>
      <c r="C630" s="2" t="s">
        <v>34</v>
      </c>
      <c r="D630" s="2" t="s">
        <v>22</v>
      </c>
      <c r="E630" s="16" t="s">
        <v>14</v>
      </c>
      <c r="F630" s="2">
        <v>1010</v>
      </c>
      <c r="G630" s="2">
        <v>3</v>
      </c>
      <c r="H630" s="2">
        <f t="shared" si="36"/>
        <v>23</v>
      </c>
      <c r="I630" s="2">
        <f t="shared" si="37"/>
        <v>23230</v>
      </c>
      <c r="J630" s="16">
        <f t="shared" si="38"/>
        <v>1161.5</v>
      </c>
      <c r="K630" s="2">
        <f t="shared" si="39"/>
        <v>22068.5</v>
      </c>
    </row>
    <row r="631" spans="1:11" ht="16.5" x14ac:dyDescent="0.3">
      <c r="A631" s="4">
        <v>43040</v>
      </c>
      <c r="B631" s="2" t="s">
        <v>27</v>
      </c>
      <c r="C631" s="2" t="s">
        <v>15</v>
      </c>
      <c r="D631" s="2" t="s">
        <v>29</v>
      </c>
      <c r="E631" s="16" t="s">
        <v>14</v>
      </c>
      <c r="F631" s="2">
        <v>1513</v>
      </c>
      <c r="G631" s="2">
        <v>40</v>
      </c>
      <c r="H631" s="2">
        <f t="shared" si="36"/>
        <v>60</v>
      </c>
      <c r="I631" s="2">
        <f t="shared" si="37"/>
        <v>90780</v>
      </c>
      <c r="J631" s="16">
        <f t="shared" si="38"/>
        <v>4539</v>
      </c>
      <c r="K631" s="2">
        <f t="shared" si="39"/>
        <v>86241</v>
      </c>
    </row>
    <row r="632" spans="1:11" ht="16.5" x14ac:dyDescent="0.3">
      <c r="A632" s="4">
        <v>43070</v>
      </c>
      <c r="B632" s="2" t="s">
        <v>25</v>
      </c>
      <c r="C632" s="2" t="s">
        <v>12</v>
      </c>
      <c r="D632" s="2" t="s">
        <v>28</v>
      </c>
      <c r="E632" s="16" t="s">
        <v>21</v>
      </c>
      <c r="F632" s="2">
        <v>2300</v>
      </c>
      <c r="G632" s="2">
        <v>120</v>
      </c>
      <c r="H632" s="2">
        <f t="shared" si="36"/>
        <v>123</v>
      </c>
      <c r="I632" s="2">
        <f t="shared" si="37"/>
        <v>282900</v>
      </c>
      <c r="J632" s="16">
        <f t="shared" si="38"/>
        <v>14145</v>
      </c>
      <c r="K632" s="2">
        <f t="shared" si="39"/>
        <v>268755</v>
      </c>
    </row>
    <row r="633" spans="1:11" ht="16.5" x14ac:dyDescent="0.3">
      <c r="A633" s="4">
        <v>43070</v>
      </c>
      <c r="B633" s="2" t="s">
        <v>25</v>
      </c>
      <c r="C633" s="2" t="s">
        <v>23</v>
      </c>
      <c r="D633" s="2" t="s">
        <v>35</v>
      </c>
      <c r="E633" s="16" t="s">
        <v>21</v>
      </c>
      <c r="F633" s="2">
        <v>2821</v>
      </c>
      <c r="G633" s="2">
        <v>25</v>
      </c>
      <c r="H633" s="2">
        <f t="shared" si="36"/>
        <v>28</v>
      </c>
      <c r="I633" s="2">
        <f t="shared" si="37"/>
        <v>78988</v>
      </c>
      <c r="J633" s="16">
        <f t="shared" si="38"/>
        <v>3949.4</v>
      </c>
      <c r="K633" s="2">
        <f t="shared" si="39"/>
        <v>75038.600000000006</v>
      </c>
    </row>
    <row r="634" spans="1:11" ht="16.5" x14ac:dyDescent="0.3">
      <c r="A634" s="4">
        <v>42736</v>
      </c>
      <c r="B634" s="2" t="s">
        <v>11</v>
      </c>
      <c r="C634" s="2" t="s">
        <v>12</v>
      </c>
      <c r="D634" s="2" t="s">
        <v>35</v>
      </c>
      <c r="E634" s="16" t="s">
        <v>17</v>
      </c>
      <c r="F634" s="2">
        <v>2227.5</v>
      </c>
      <c r="G634" s="2">
        <v>25</v>
      </c>
      <c r="H634" s="2">
        <f t="shared" si="36"/>
        <v>40</v>
      </c>
      <c r="I634" s="2">
        <f t="shared" si="37"/>
        <v>89100</v>
      </c>
      <c r="J634" s="16">
        <f t="shared" si="38"/>
        <v>4455</v>
      </c>
      <c r="K634" s="2">
        <f t="shared" si="39"/>
        <v>84645</v>
      </c>
    </row>
    <row r="635" spans="1:11" ht="16.5" x14ac:dyDescent="0.3">
      <c r="A635" s="4">
        <v>42826</v>
      </c>
      <c r="B635" s="2" t="s">
        <v>31</v>
      </c>
      <c r="C635" s="2" t="s">
        <v>15</v>
      </c>
      <c r="D635" s="2" t="s">
        <v>20</v>
      </c>
      <c r="E635" s="16" t="s">
        <v>17</v>
      </c>
      <c r="F635" s="2">
        <v>1199</v>
      </c>
      <c r="G635" s="2">
        <v>5</v>
      </c>
      <c r="H635" s="2">
        <f t="shared" si="36"/>
        <v>20</v>
      </c>
      <c r="I635" s="2">
        <f t="shared" si="37"/>
        <v>23980</v>
      </c>
      <c r="J635" s="16">
        <f t="shared" si="38"/>
        <v>1199</v>
      </c>
      <c r="K635" s="2">
        <f t="shared" si="39"/>
        <v>22781</v>
      </c>
    </row>
    <row r="636" spans="1:11" ht="16.5" x14ac:dyDescent="0.3">
      <c r="A636" s="4">
        <v>42856</v>
      </c>
      <c r="B636" s="2" t="s">
        <v>37</v>
      </c>
      <c r="C636" s="2" t="s">
        <v>12</v>
      </c>
      <c r="D636" s="2" t="s">
        <v>30</v>
      </c>
      <c r="E636" s="16" t="s">
        <v>21</v>
      </c>
      <c r="F636" s="2">
        <v>200</v>
      </c>
      <c r="G636" s="2">
        <v>6</v>
      </c>
      <c r="H636" s="2">
        <f t="shared" si="36"/>
        <v>9</v>
      </c>
      <c r="I636" s="2">
        <f t="shared" si="37"/>
        <v>1800</v>
      </c>
      <c r="J636" s="16">
        <f t="shared" si="38"/>
        <v>90</v>
      </c>
      <c r="K636" s="2">
        <f t="shared" si="39"/>
        <v>1710</v>
      </c>
    </row>
    <row r="637" spans="1:11" ht="16.5" x14ac:dyDescent="0.3">
      <c r="A637" s="4">
        <v>42979</v>
      </c>
      <c r="B637" s="2" t="s">
        <v>25</v>
      </c>
      <c r="C637" s="2" t="s">
        <v>12</v>
      </c>
      <c r="D637" s="2" t="s">
        <v>35</v>
      </c>
      <c r="E637" s="16" t="s">
        <v>21</v>
      </c>
      <c r="F637" s="2">
        <v>388</v>
      </c>
      <c r="G637" s="2">
        <v>25</v>
      </c>
      <c r="H637" s="2">
        <f t="shared" si="36"/>
        <v>28</v>
      </c>
      <c r="I637" s="2">
        <f t="shared" si="37"/>
        <v>10864</v>
      </c>
      <c r="J637" s="16">
        <f t="shared" si="38"/>
        <v>543.20000000000005</v>
      </c>
      <c r="K637" s="2">
        <f t="shared" si="39"/>
        <v>10320.799999999999</v>
      </c>
    </row>
    <row r="638" spans="1:11" ht="16.5" x14ac:dyDescent="0.3">
      <c r="A638" s="4">
        <v>43009</v>
      </c>
      <c r="B638" s="2" t="s">
        <v>11</v>
      </c>
      <c r="C638" s="2" t="s">
        <v>23</v>
      </c>
      <c r="D638" s="2" t="s">
        <v>20</v>
      </c>
      <c r="E638" s="16" t="s">
        <v>21</v>
      </c>
      <c r="F638" s="2">
        <v>1727</v>
      </c>
      <c r="G638" s="2">
        <v>5</v>
      </c>
      <c r="H638" s="2">
        <f t="shared" si="36"/>
        <v>8</v>
      </c>
      <c r="I638" s="2">
        <f t="shared" si="37"/>
        <v>13816</v>
      </c>
      <c r="J638" s="16">
        <f t="shared" si="38"/>
        <v>690.80000000000007</v>
      </c>
      <c r="K638" s="2">
        <f t="shared" si="39"/>
        <v>13125.2</v>
      </c>
    </row>
    <row r="639" spans="1:11" ht="16.5" x14ac:dyDescent="0.3">
      <c r="A639" s="4">
        <v>43070</v>
      </c>
      <c r="B639" s="2" t="s">
        <v>25</v>
      </c>
      <c r="C639" s="2" t="s">
        <v>12</v>
      </c>
      <c r="D639" s="2" t="s">
        <v>26</v>
      </c>
      <c r="E639" s="16" t="s">
        <v>21</v>
      </c>
      <c r="F639" s="2">
        <v>2300</v>
      </c>
      <c r="G639" s="2">
        <v>2</v>
      </c>
      <c r="H639" s="2">
        <f t="shared" si="36"/>
        <v>5</v>
      </c>
      <c r="I639" s="2">
        <f t="shared" si="37"/>
        <v>11500</v>
      </c>
      <c r="J639" s="16">
        <f t="shared" si="38"/>
        <v>575</v>
      </c>
      <c r="K639" s="2">
        <f t="shared" si="39"/>
        <v>10925</v>
      </c>
    </row>
    <row r="640" spans="1:11" ht="16.5" x14ac:dyDescent="0.3">
      <c r="A640" s="4">
        <v>42767</v>
      </c>
      <c r="B640" s="2" t="s">
        <v>27</v>
      </c>
      <c r="C640" s="2" t="s">
        <v>23</v>
      </c>
      <c r="D640" s="2" t="s">
        <v>29</v>
      </c>
      <c r="E640" s="16" t="s">
        <v>24</v>
      </c>
      <c r="F640" s="2">
        <v>260</v>
      </c>
      <c r="G640" s="2">
        <v>40</v>
      </c>
      <c r="H640" s="2">
        <f t="shared" si="36"/>
        <v>50</v>
      </c>
      <c r="I640" s="2">
        <f t="shared" si="37"/>
        <v>13000</v>
      </c>
      <c r="J640" s="16">
        <f t="shared" si="38"/>
        <v>650</v>
      </c>
      <c r="K640" s="2">
        <f t="shared" si="39"/>
        <v>12350</v>
      </c>
    </row>
    <row r="641" spans="1:11" ht="16.5" x14ac:dyDescent="0.3">
      <c r="A641" s="4">
        <v>42979</v>
      </c>
      <c r="B641" s="2" t="s">
        <v>25</v>
      </c>
      <c r="C641" s="2" t="s">
        <v>12</v>
      </c>
      <c r="D641" s="2" t="s">
        <v>20</v>
      </c>
      <c r="E641" s="16" t="s">
        <v>14</v>
      </c>
      <c r="F641" s="2">
        <v>2470</v>
      </c>
      <c r="G641" s="2">
        <v>5</v>
      </c>
      <c r="H641" s="2">
        <f t="shared" si="36"/>
        <v>25</v>
      </c>
      <c r="I641" s="2">
        <f t="shared" si="37"/>
        <v>61750</v>
      </c>
      <c r="J641" s="16">
        <f t="shared" si="38"/>
        <v>3087.5</v>
      </c>
      <c r="K641" s="2">
        <f t="shared" si="39"/>
        <v>58662.5</v>
      </c>
    </row>
    <row r="642" spans="1:11" ht="16.5" x14ac:dyDescent="0.3">
      <c r="A642" s="4">
        <v>43009</v>
      </c>
      <c r="B642" s="2" t="s">
        <v>11</v>
      </c>
      <c r="C642" s="2" t="s">
        <v>12</v>
      </c>
      <c r="D642" s="2" t="s">
        <v>22</v>
      </c>
      <c r="E642" s="16" t="s">
        <v>14</v>
      </c>
      <c r="F642" s="2">
        <v>1743</v>
      </c>
      <c r="G642" s="2">
        <v>3</v>
      </c>
      <c r="H642" s="2">
        <f t="shared" si="36"/>
        <v>23</v>
      </c>
      <c r="I642" s="2">
        <f t="shared" si="37"/>
        <v>40089</v>
      </c>
      <c r="J642" s="16">
        <f t="shared" si="38"/>
        <v>2004.45</v>
      </c>
      <c r="K642" s="2">
        <f t="shared" si="39"/>
        <v>38084.550000000003</v>
      </c>
    </row>
    <row r="643" spans="1:11" ht="16.5" x14ac:dyDescent="0.3">
      <c r="A643" s="4">
        <v>43009</v>
      </c>
      <c r="B643" s="2" t="s">
        <v>11</v>
      </c>
      <c r="C643" s="2" t="s">
        <v>34</v>
      </c>
      <c r="D643" s="2" t="s">
        <v>29</v>
      </c>
      <c r="E643" s="16" t="s">
        <v>21</v>
      </c>
      <c r="F643" s="2">
        <v>2914</v>
      </c>
      <c r="G643" s="2">
        <v>40</v>
      </c>
      <c r="H643" s="2">
        <f t="shared" ref="H643:H701" si="40">IF(E643="High",G643+20,IF(E643="Medium",G643+15,IF(E643="Low",G643+10,G643+3)))</f>
        <v>43</v>
      </c>
      <c r="I643" s="2">
        <f t="shared" ref="I643:I701" si="41">F643*H643</f>
        <v>125302</v>
      </c>
      <c r="J643" s="16">
        <f t="shared" ref="J643:J701" si="42">IF(AND(D643="Note Book",F643&gt;2500),I643*12%,IF(AND(E643="Long Note Book",N643&lt;1800),I643*8%,I643*5%))</f>
        <v>6265.1</v>
      </c>
      <c r="K643" s="2">
        <f t="shared" ref="K643:K701" si="43">I643-J643</f>
        <v>119036.9</v>
      </c>
    </row>
    <row r="644" spans="1:11" ht="16.5" x14ac:dyDescent="0.3">
      <c r="A644" s="4">
        <v>43009</v>
      </c>
      <c r="B644" s="2" t="s">
        <v>11</v>
      </c>
      <c r="C644" s="2" t="s">
        <v>19</v>
      </c>
      <c r="D644" s="2" t="s">
        <v>20</v>
      </c>
      <c r="E644" s="16" t="s">
        <v>21</v>
      </c>
      <c r="F644" s="2">
        <v>1731</v>
      </c>
      <c r="G644" s="2">
        <v>5</v>
      </c>
      <c r="H644" s="2">
        <f t="shared" si="40"/>
        <v>8</v>
      </c>
      <c r="I644" s="2">
        <f t="shared" si="41"/>
        <v>13848</v>
      </c>
      <c r="J644" s="16">
        <f t="shared" si="42"/>
        <v>692.40000000000009</v>
      </c>
      <c r="K644" s="2">
        <f t="shared" si="43"/>
        <v>13155.6</v>
      </c>
    </row>
    <row r="645" spans="1:11" ht="16.5" x14ac:dyDescent="0.3">
      <c r="A645" s="4">
        <v>43040</v>
      </c>
      <c r="B645" s="2" t="s">
        <v>27</v>
      </c>
      <c r="C645" s="2" t="s">
        <v>12</v>
      </c>
      <c r="D645" s="2" t="s">
        <v>13</v>
      </c>
      <c r="E645" s="16" t="s">
        <v>17</v>
      </c>
      <c r="F645" s="2">
        <v>700</v>
      </c>
      <c r="G645" s="2">
        <v>30</v>
      </c>
      <c r="H645" s="2">
        <f t="shared" si="40"/>
        <v>45</v>
      </c>
      <c r="I645" s="2">
        <f t="shared" si="41"/>
        <v>31500</v>
      </c>
      <c r="J645" s="16">
        <f t="shared" si="42"/>
        <v>1575</v>
      </c>
      <c r="K645" s="2">
        <f t="shared" si="43"/>
        <v>29925</v>
      </c>
    </row>
    <row r="646" spans="1:11" ht="16.5" x14ac:dyDescent="0.3">
      <c r="A646" s="4">
        <v>43040</v>
      </c>
      <c r="B646" s="2" t="s">
        <v>27</v>
      </c>
      <c r="C646" s="2" t="s">
        <v>12</v>
      </c>
      <c r="D646" s="2" t="s">
        <v>26</v>
      </c>
      <c r="E646" s="16" t="s">
        <v>17</v>
      </c>
      <c r="F646" s="2">
        <v>2222</v>
      </c>
      <c r="G646" s="2">
        <v>2</v>
      </c>
      <c r="H646" s="2">
        <f t="shared" si="40"/>
        <v>17</v>
      </c>
      <c r="I646" s="2">
        <f t="shared" si="41"/>
        <v>37774</v>
      </c>
      <c r="J646" s="16">
        <f t="shared" si="42"/>
        <v>1888.7</v>
      </c>
      <c r="K646" s="2">
        <f t="shared" si="43"/>
        <v>35885.300000000003</v>
      </c>
    </row>
    <row r="647" spans="1:11" ht="16.5" x14ac:dyDescent="0.3">
      <c r="A647" s="4">
        <v>43040</v>
      </c>
      <c r="B647" s="2" t="s">
        <v>27</v>
      </c>
      <c r="C647" s="2" t="s">
        <v>34</v>
      </c>
      <c r="D647" s="2" t="s">
        <v>29</v>
      </c>
      <c r="E647" s="16" t="s">
        <v>21</v>
      </c>
      <c r="F647" s="2">
        <v>1177</v>
      </c>
      <c r="G647" s="2">
        <v>40</v>
      </c>
      <c r="H647" s="2">
        <f t="shared" si="40"/>
        <v>43</v>
      </c>
      <c r="I647" s="2">
        <f t="shared" si="41"/>
        <v>50611</v>
      </c>
      <c r="J647" s="16">
        <f t="shared" si="42"/>
        <v>2530.5500000000002</v>
      </c>
      <c r="K647" s="2">
        <f t="shared" si="43"/>
        <v>48080.45</v>
      </c>
    </row>
    <row r="648" spans="1:11" ht="16.5" x14ac:dyDescent="0.3">
      <c r="A648" s="4">
        <v>43040</v>
      </c>
      <c r="B648" s="2" t="s">
        <v>27</v>
      </c>
      <c r="C648" s="2" t="s">
        <v>19</v>
      </c>
      <c r="D648" s="2" t="s">
        <v>22</v>
      </c>
      <c r="E648" s="16" t="s">
        <v>21</v>
      </c>
      <c r="F648" s="2">
        <v>1922</v>
      </c>
      <c r="G648" s="2">
        <v>3</v>
      </c>
      <c r="H648" s="2">
        <f t="shared" si="40"/>
        <v>6</v>
      </c>
      <c r="I648" s="2">
        <f t="shared" si="41"/>
        <v>11532</v>
      </c>
      <c r="J648" s="16">
        <f t="shared" si="42"/>
        <v>576.6</v>
      </c>
      <c r="K648" s="2">
        <f t="shared" si="43"/>
        <v>10955.4</v>
      </c>
    </row>
    <row r="649" spans="1:11" ht="16.5" x14ac:dyDescent="0.3">
      <c r="A649" s="4">
        <v>42767</v>
      </c>
      <c r="B649" s="2" t="s">
        <v>27</v>
      </c>
      <c r="C649" s="2" t="s">
        <v>23</v>
      </c>
      <c r="D649" s="2" t="s">
        <v>26</v>
      </c>
      <c r="E649" s="16" t="s">
        <v>21</v>
      </c>
      <c r="F649" s="2">
        <v>1575</v>
      </c>
      <c r="G649" s="2">
        <v>2</v>
      </c>
      <c r="H649" s="2">
        <f t="shared" si="40"/>
        <v>5</v>
      </c>
      <c r="I649" s="2">
        <f t="shared" si="41"/>
        <v>7875</v>
      </c>
      <c r="J649" s="16">
        <f t="shared" si="42"/>
        <v>393.75</v>
      </c>
      <c r="K649" s="2">
        <f t="shared" si="43"/>
        <v>7481.25</v>
      </c>
    </row>
    <row r="650" spans="1:11" ht="16.5" x14ac:dyDescent="0.3">
      <c r="A650" s="4">
        <v>42826</v>
      </c>
      <c r="B650" s="2" t="s">
        <v>31</v>
      </c>
      <c r="C650" s="2" t="s">
        <v>34</v>
      </c>
      <c r="D650" s="2" t="s">
        <v>13</v>
      </c>
      <c r="E650" s="16" t="s">
        <v>24</v>
      </c>
      <c r="F650" s="2">
        <v>606</v>
      </c>
      <c r="G650" s="2">
        <v>30</v>
      </c>
      <c r="H650" s="2">
        <f t="shared" si="40"/>
        <v>40</v>
      </c>
      <c r="I650" s="2">
        <f t="shared" si="41"/>
        <v>24240</v>
      </c>
      <c r="J650" s="16">
        <f t="shared" si="42"/>
        <v>1212</v>
      </c>
      <c r="K650" s="2">
        <f t="shared" si="43"/>
        <v>23028</v>
      </c>
    </row>
    <row r="651" spans="1:11" ht="16.5" x14ac:dyDescent="0.3">
      <c r="A651" s="4">
        <v>42917</v>
      </c>
      <c r="B651" s="2" t="s">
        <v>31</v>
      </c>
      <c r="C651" s="2" t="s">
        <v>34</v>
      </c>
      <c r="D651" s="2" t="s">
        <v>22</v>
      </c>
      <c r="E651" s="16" t="s">
        <v>14</v>
      </c>
      <c r="F651" s="2">
        <v>2460</v>
      </c>
      <c r="G651" s="2">
        <v>3</v>
      </c>
      <c r="H651" s="2">
        <f t="shared" si="40"/>
        <v>23</v>
      </c>
      <c r="I651" s="2">
        <f t="shared" si="41"/>
        <v>56580</v>
      </c>
      <c r="J651" s="16">
        <f t="shared" si="42"/>
        <v>2829</v>
      </c>
      <c r="K651" s="2">
        <f t="shared" si="43"/>
        <v>53751</v>
      </c>
    </row>
    <row r="652" spans="1:11" ht="16.5" x14ac:dyDescent="0.3">
      <c r="A652" s="4">
        <v>43009</v>
      </c>
      <c r="B652" s="2" t="s">
        <v>11</v>
      </c>
      <c r="C652" s="2" t="s">
        <v>12</v>
      </c>
      <c r="D652" s="2" t="s">
        <v>35</v>
      </c>
      <c r="E652" s="16" t="s">
        <v>14</v>
      </c>
      <c r="F652" s="2">
        <v>269</v>
      </c>
      <c r="G652" s="2">
        <v>25</v>
      </c>
      <c r="H652" s="2">
        <f t="shared" si="40"/>
        <v>45</v>
      </c>
      <c r="I652" s="2">
        <f t="shared" si="41"/>
        <v>12105</v>
      </c>
      <c r="J652" s="16">
        <f t="shared" si="42"/>
        <v>605.25</v>
      </c>
      <c r="K652" s="2">
        <f t="shared" si="43"/>
        <v>11499.75</v>
      </c>
    </row>
    <row r="653" spans="1:11" ht="16.5" x14ac:dyDescent="0.3">
      <c r="A653" s="4">
        <v>43040</v>
      </c>
      <c r="B653" s="2" t="s">
        <v>27</v>
      </c>
      <c r="C653" s="2" t="s">
        <v>15</v>
      </c>
      <c r="D653" s="2" t="s">
        <v>33</v>
      </c>
      <c r="E653" s="16" t="s">
        <v>21</v>
      </c>
      <c r="F653" s="2">
        <v>2536</v>
      </c>
      <c r="G653" s="2">
        <v>20</v>
      </c>
      <c r="H653" s="2">
        <f t="shared" si="40"/>
        <v>23</v>
      </c>
      <c r="I653" s="2">
        <f t="shared" si="41"/>
        <v>58328</v>
      </c>
      <c r="J653" s="16">
        <f t="shared" si="42"/>
        <v>2916.4</v>
      </c>
      <c r="K653" s="2">
        <f t="shared" si="43"/>
        <v>55411.6</v>
      </c>
    </row>
    <row r="654" spans="1:11" ht="16.5" x14ac:dyDescent="0.3">
      <c r="A654" s="4">
        <v>42795</v>
      </c>
      <c r="B654" s="2" t="s">
        <v>27</v>
      </c>
      <c r="C654" s="2" t="s">
        <v>23</v>
      </c>
      <c r="D654" s="2" t="s">
        <v>29</v>
      </c>
      <c r="E654" s="16" t="s">
        <v>21</v>
      </c>
      <c r="F654" s="2">
        <v>2903</v>
      </c>
      <c r="G654" s="2">
        <v>40</v>
      </c>
      <c r="H654" s="2">
        <f t="shared" si="40"/>
        <v>43</v>
      </c>
      <c r="I654" s="2">
        <f t="shared" si="41"/>
        <v>124829</v>
      </c>
      <c r="J654" s="16">
        <f t="shared" si="42"/>
        <v>6241.4500000000007</v>
      </c>
      <c r="K654" s="2">
        <f t="shared" si="43"/>
        <v>118587.55</v>
      </c>
    </row>
    <row r="655" spans="1:11" ht="16.5" x14ac:dyDescent="0.3">
      <c r="A655" s="4">
        <v>42948</v>
      </c>
      <c r="B655" s="2" t="s">
        <v>32</v>
      </c>
      <c r="C655" s="2" t="s">
        <v>34</v>
      </c>
      <c r="D655" s="2" t="s">
        <v>30</v>
      </c>
      <c r="E655" s="16" t="s">
        <v>17</v>
      </c>
      <c r="F655" s="2">
        <v>2541</v>
      </c>
      <c r="G655" s="2">
        <v>6</v>
      </c>
      <c r="H655" s="2">
        <f t="shared" si="40"/>
        <v>21</v>
      </c>
      <c r="I655" s="2">
        <f t="shared" si="41"/>
        <v>53361</v>
      </c>
      <c r="J655" s="16">
        <f t="shared" si="42"/>
        <v>2668.05</v>
      </c>
      <c r="K655" s="2">
        <f t="shared" si="43"/>
        <v>50692.95</v>
      </c>
    </row>
    <row r="656" spans="1:11" ht="16.5" x14ac:dyDescent="0.3">
      <c r="A656" s="4">
        <v>43009</v>
      </c>
      <c r="B656" s="2" t="s">
        <v>11</v>
      </c>
      <c r="C656" s="2" t="s">
        <v>12</v>
      </c>
      <c r="D656" s="2" t="s">
        <v>13</v>
      </c>
      <c r="E656" s="16" t="s">
        <v>17</v>
      </c>
      <c r="F656" s="2">
        <v>269</v>
      </c>
      <c r="G656" s="2">
        <v>30</v>
      </c>
      <c r="H656" s="2">
        <f t="shared" si="40"/>
        <v>45</v>
      </c>
      <c r="I656" s="2">
        <f t="shared" si="41"/>
        <v>12105</v>
      </c>
      <c r="J656" s="16">
        <f t="shared" si="42"/>
        <v>605.25</v>
      </c>
      <c r="K656" s="2">
        <f t="shared" si="43"/>
        <v>11499.75</v>
      </c>
    </row>
    <row r="657" spans="1:11" ht="16.5" x14ac:dyDescent="0.3">
      <c r="A657" s="4">
        <v>43009</v>
      </c>
      <c r="B657" s="2" t="s">
        <v>11</v>
      </c>
      <c r="C657" s="2" t="s">
        <v>12</v>
      </c>
      <c r="D657" s="2" t="s">
        <v>16</v>
      </c>
      <c r="E657" s="16" t="s">
        <v>21</v>
      </c>
      <c r="F657" s="2">
        <v>1496</v>
      </c>
      <c r="G657" s="2">
        <v>4</v>
      </c>
      <c r="H657" s="2">
        <f t="shared" si="40"/>
        <v>7</v>
      </c>
      <c r="I657" s="2">
        <f t="shared" si="41"/>
        <v>10472</v>
      </c>
      <c r="J657" s="16">
        <f t="shared" si="42"/>
        <v>523.6</v>
      </c>
      <c r="K657" s="2">
        <f t="shared" si="43"/>
        <v>9948.4</v>
      </c>
    </row>
    <row r="658" spans="1:11" ht="16.5" x14ac:dyDescent="0.3">
      <c r="A658" s="4">
        <v>43009</v>
      </c>
      <c r="B658" s="2" t="s">
        <v>11</v>
      </c>
      <c r="C658" s="2" t="s">
        <v>34</v>
      </c>
      <c r="D658" s="2" t="s">
        <v>20</v>
      </c>
      <c r="E658" s="16" t="s">
        <v>21</v>
      </c>
      <c r="F658" s="2">
        <v>1010</v>
      </c>
      <c r="G658" s="2">
        <v>5</v>
      </c>
      <c r="H658" s="2">
        <f t="shared" si="40"/>
        <v>8</v>
      </c>
      <c r="I658" s="2">
        <f t="shared" si="41"/>
        <v>8080</v>
      </c>
      <c r="J658" s="16">
        <f t="shared" si="42"/>
        <v>404</v>
      </c>
      <c r="K658" s="2">
        <f t="shared" si="43"/>
        <v>7676</v>
      </c>
    </row>
    <row r="659" spans="1:11" ht="16.5" x14ac:dyDescent="0.3">
      <c r="A659" s="4">
        <v>43070</v>
      </c>
      <c r="B659" s="2" t="s">
        <v>25</v>
      </c>
      <c r="C659" s="2" t="s">
        <v>19</v>
      </c>
      <c r="D659" s="2" t="s">
        <v>22</v>
      </c>
      <c r="E659" s="16" t="s">
        <v>21</v>
      </c>
      <c r="F659" s="2">
        <v>1281</v>
      </c>
      <c r="G659" s="2">
        <v>3</v>
      </c>
      <c r="H659" s="2">
        <f t="shared" si="40"/>
        <v>6</v>
      </c>
      <c r="I659" s="2">
        <f t="shared" si="41"/>
        <v>7686</v>
      </c>
      <c r="J659" s="16">
        <f t="shared" si="42"/>
        <v>384.3</v>
      </c>
      <c r="K659" s="2">
        <f t="shared" si="43"/>
        <v>7301.7</v>
      </c>
    </row>
    <row r="660" spans="1:11" ht="16.5" x14ac:dyDescent="0.3">
      <c r="A660" s="4">
        <v>42795</v>
      </c>
      <c r="B660" s="2" t="s">
        <v>27</v>
      </c>
      <c r="C660" s="2" t="s">
        <v>12</v>
      </c>
      <c r="D660" s="2" t="s">
        <v>13</v>
      </c>
      <c r="E660" s="16" t="s">
        <v>21</v>
      </c>
      <c r="F660" s="2">
        <v>888</v>
      </c>
      <c r="G660" s="2">
        <v>30</v>
      </c>
      <c r="H660" s="2">
        <f t="shared" si="40"/>
        <v>33</v>
      </c>
      <c r="I660" s="2">
        <f t="shared" si="41"/>
        <v>29304</v>
      </c>
      <c r="J660" s="16">
        <f t="shared" si="42"/>
        <v>1465.2</v>
      </c>
      <c r="K660" s="2">
        <f t="shared" si="43"/>
        <v>27838.799999999999</v>
      </c>
    </row>
    <row r="661" spans="1:11" ht="16.5" x14ac:dyDescent="0.3">
      <c r="A661" s="4">
        <v>42856</v>
      </c>
      <c r="B661" s="2" t="s">
        <v>37</v>
      </c>
      <c r="C661" s="2" t="s">
        <v>34</v>
      </c>
      <c r="D661" s="2" t="s">
        <v>26</v>
      </c>
      <c r="E661" s="16" t="s">
        <v>24</v>
      </c>
      <c r="F661" s="2">
        <v>2844</v>
      </c>
      <c r="G661" s="2">
        <v>2</v>
      </c>
      <c r="H661" s="2">
        <f t="shared" si="40"/>
        <v>12</v>
      </c>
      <c r="I661" s="2">
        <f t="shared" si="41"/>
        <v>34128</v>
      </c>
      <c r="J661" s="16">
        <f t="shared" si="42"/>
        <v>1706.4</v>
      </c>
      <c r="K661" s="2">
        <f t="shared" si="43"/>
        <v>32421.599999999999</v>
      </c>
    </row>
    <row r="662" spans="1:11" ht="16.5" x14ac:dyDescent="0.3">
      <c r="A662" s="4">
        <v>42948</v>
      </c>
      <c r="B662" s="2" t="s">
        <v>32</v>
      </c>
      <c r="C662" s="2" t="s">
        <v>19</v>
      </c>
      <c r="D662" s="2" t="s">
        <v>16</v>
      </c>
      <c r="E662" s="16" t="s">
        <v>14</v>
      </c>
      <c r="F662" s="2">
        <v>2475</v>
      </c>
      <c r="G662" s="2">
        <v>4</v>
      </c>
      <c r="H662" s="2">
        <f t="shared" si="40"/>
        <v>24</v>
      </c>
      <c r="I662" s="2">
        <f t="shared" si="41"/>
        <v>59400</v>
      </c>
      <c r="J662" s="16">
        <f t="shared" si="42"/>
        <v>2970</v>
      </c>
      <c r="K662" s="2">
        <f t="shared" si="43"/>
        <v>56430</v>
      </c>
    </row>
    <row r="663" spans="1:11" ht="16.5" x14ac:dyDescent="0.3">
      <c r="A663" s="4">
        <v>43009</v>
      </c>
      <c r="B663" s="2" t="s">
        <v>11</v>
      </c>
      <c r="C663" s="2" t="s">
        <v>12</v>
      </c>
      <c r="D663" s="2" t="s">
        <v>28</v>
      </c>
      <c r="E663" s="16" t="s">
        <v>14</v>
      </c>
      <c r="F663" s="2">
        <v>1743</v>
      </c>
      <c r="G663" s="2">
        <v>120</v>
      </c>
      <c r="H663" s="2">
        <f t="shared" si="40"/>
        <v>140</v>
      </c>
      <c r="I663" s="2">
        <f t="shared" si="41"/>
        <v>244020</v>
      </c>
      <c r="J663" s="16">
        <f t="shared" si="42"/>
        <v>12201</v>
      </c>
      <c r="K663" s="2">
        <f t="shared" si="43"/>
        <v>231819</v>
      </c>
    </row>
    <row r="664" spans="1:11" ht="16.5" x14ac:dyDescent="0.3">
      <c r="A664" s="4">
        <v>43009</v>
      </c>
      <c r="B664" s="2" t="s">
        <v>11</v>
      </c>
      <c r="C664" s="2" t="s">
        <v>34</v>
      </c>
      <c r="D664" s="2" t="s">
        <v>29</v>
      </c>
      <c r="E664" s="16" t="s">
        <v>21</v>
      </c>
      <c r="F664" s="2">
        <v>2914</v>
      </c>
      <c r="G664" s="2">
        <v>40</v>
      </c>
      <c r="H664" s="2">
        <f t="shared" si="40"/>
        <v>43</v>
      </c>
      <c r="I664" s="2">
        <f t="shared" si="41"/>
        <v>125302</v>
      </c>
      <c r="J664" s="16">
        <f t="shared" si="42"/>
        <v>6265.1</v>
      </c>
      <c r="K664" s="2">
        <f t="shared" si="43"/>
        <v>119036.9</v>
      </c>
    </row>
    <row r="665" spans="1:11" ht="16.5" x14ac:dyDescent="0.3">
      <c r="A665" s="4">
        <v>43009</v>
      </c>
      <c r="B665" s="2" t="s">
        <v>11</v>
      </c>
      <c r="C665" s="2" t="s">
        <v>19</v>
      </c>
      <c r="D665" s="2" t="s">
        <v>26</v>
      </c>
      <c r="E665" s="16" t="s">
        <v>21</v>
      </c>
      <c r="F665" s="2">
        <v>1731</v>
      </c>
      <c r="G665" s="2">
        <v>2</v>
      </c>
      <c r="H665" s="2">
        <f t="shared" si="40"/>
        <v>5</v>
      </c>
      <c r="I665" s="2">
        <f t="shared" si="41"/>
        <v>8655</v>
      </c>
      <c r="J665" s="16">
        <f t="shared" si="42"/>
        <v>432.75</v>
      </c>
      <c r="K665" s="2">
        <f t="shared" si="43"/>
        <v>8222.25</v>
      </c>
    </row>
    <row r="666" spans="1:11" ht="16.5" x14ac:dyDescent="0.3">
      <c r="A666" s="4">
        <v>43009</v>
      </c>
      <c r="B666" s="2" t="s">
        <v>11</v>
      </c>
      <c r="C666" s="2" t="s">
        <v>23</v>
      </c>
      <c r="D666" s="2" t="s">
        <v>30</v>
      </c>
      <c r="E666" s="16" t="s">
        <v>17</v>
      </c>
      <c r="F666" s="2">
        <v>1727</v>
      </c>
      <c r="G666" s="2">
        <v>6</v>
      </c>
      <c r="H666" s="2">
        <f t="shared" si="40"/>
        <v>21</v>
      </c>
      <c r="I666" s="2">
        <f t="shared" si="41"/>
        <v>36267</v>
      </c>
      <c r="J666" s="16">
        <f t="shared" si="42"/>
        <v>1813.3500000000001</v>
      </c>
      <c r="K666" s="2">
        <f t="shared" si="43"/>
        <v>34453.65</v>
      </c>
    </row>
    <row r="667" spans="1:11" ht="16.5" x14ac:dyDescent="0.3">
      <c r="A667" s="4">
        <v>43040</v>
      </c>
      <c r="B667" s="2" t="s">
        <v>27</v>
      </c>
      <c r="C667" s="2" t="s">
        <v>23</v>
      </c>
      <c r="D667" s="2" t="s">
        <v>20</v>
      </c>
      <c r="E667" s="16" t="s">
        <v>17</v>
      </c>
      <c r="F667" s="2">
        <v>1870</v>
      </c>
      <c r="G667" s="2">
        <v>5</v>
      </c>
      <c r="H667" s="2">
        <f t="shared" si="40"/>
        <v>20</v>
      </c>
      <c r="I667" s="2">
        <f t="shared" si="41"/>
        <v>37400</v>
      </c>
      <c r="J667" s="16">
        <f t="shared" si="42"/>
        <v>1870</v>
      </c>
      <c r="K667" s="2">
        <f t="shared" si="43"/>
        <v>35530</v>
      </c>
    </row>
    <row r="668" spans="1:11" ht="16.5" x14ac:dyDescent="0.3">
      <c r="A668" s="4">
        <v>42948</v>
      </c>
      <c r="B668" s="2" t="s">
        <v>32</v>
      </c>
      <c r="C668" s="2" t="s">
        <v>19</v>
      </c>
      <c r="D668" s="2" t="s">
        <v>28</v>
      </c>
      <c r="E668" s="16" t="s">
        <v>21</v>
      </c>
      <c r="F668" s="2">
        <v>1174</v>
      </c>
      <c r="G668" s="2">
        <v>120</v>
      </c>
      <c r="H668" s="2">
        <f t="shared" si="40"/>
        <v>123</v>
      </c>
      <c r="I668" s="2">
        <f t="shared" si="41"/>
        <v>144402</v>
      </c>
      <c r="J668" s="16">
        <f t="shared" si="42"/>
        <v>7220.1</v>
      </c>
      <c r="K668" s="2">
        <f t="shared" si="43"/>
        <v>137181.9</v>
      </c>
    </row>
    <row r="669" spans="1:11" ht="16.5" x14ac:dyDescent="0.3">
      <c r="A669" s="4">
        <v>42948</v>
      </c>
      <c r="B669" s="2" t="s">
        <v>32</v>
      </c>
      <c r="C669" s="2" t="s">
        <v>15</v>
      </c>
      <c r="D669" s="2" t="s">
        <v>13</v>
      </c>
      <c r="E669" s="16" t="s">
        <v>21</v>
      </c>
      <c r="F669" s="2">
        <v>2767</v>
      </c>
      <c r="G669" s="2">
        <v>30</v>
      </c>
      <c r="H669" s="2">
        <f t="shared" si="40"/>
        <v>33</v>
      </c>
      <c r="I669" s="2">
        <f t="shared" si="41"/>
        <v>91311</v>
      </c>
      <c r="J669" s="16">
        <f t="shared" si="42"/>
        <v>10957.32</v>
      </c>
      <c r="K669" s="2">
        <f t="shared" si="43"/>
        <v>80353.679999999993</v>
      </c>
    </row>
    <row r="670" spans="1:11" ht="16.5" x14ac:dyDescent="0.3">
      <c r="A670" s="4">
        <v>43009</v>
      </c>
      <c r="B670" s="2" t="s">
        <v>11</v>
      </c>
      <c r="C670" s="2" t="s">
        <v>15</v>
      </c>
      <c r="D670" s="2" t="s">
        <v>33</v>
      </c>
      <c r="E670" s="16" t="s">
        <v>21</v>
      </c>
      <c r="F670" s="2">
        <v>1085</v>
      </c>
      <c r="G670" s="2">
        <v>20</v>
      </c>
      <c r="H670" s="2">
        <f t="shared" si="40"/>
        <v>23</v>
      </c>
      <c r="I670" s="2">
        <f t="shared" si="41"/>
        <v>24955</v>
      </c>
      <c r="J670" s="16">
        <f t="shared" si="42"/>
        <v>1247.75</v>
      </c>
      <c r="K670" s="2">
        <f t="shared" si="43"/>
        <v>23707.25</v>
      </c>
    </row>
    <row r="671" spans="1:11" ht="16.5" x14ac:dyDescent="0.3">
      <c r="A671" s="4">
        <v>43009</v>
      </c>
      <c r="B671" s="2" t="s">
        <v>11</v>
      </c>
      <c r="C671" s="2" t="s">
        <v>23</v>
      </c>
      <c r="D671" s="2" t="s">
        <v>35</v>
      </c>
      <c r="E671" s="16" t="s">
        <v>24</v>
      </c>
      <c r="F671" s="2">
        <v>546</v>
      </c>
      <c r="G671" s="2">
        <v>25</v>
      </c>
      <c r="H671" s="2">
        <f t="shared" si="40"/>
        <v>35</v>
      </c>
      <c r="I671" s="2">
        <f t="shared" si="41"/>
        <v>19110</v>
      </c>
      <c r="J671" s="16">
        <f t="shared" si="42"/>
        <v>955.5</v>
      </c>
      <c r="K671" s="2">
        <f t="shared" si="43"/>
        <v>18154.5</v>
      </c>
    </row>
    <row r="672" spans="1:11" ht="16.5" x14ac:dyDescent="0.3">
      <c r="A672" s="4">
        <v>42795</v>
      </c>
      <c r="B672" s="2" t="s">
        <v>27</v>
      </c>
      <c r="C672" s="2" t="s">
        <v>15</v>
      </c>
      <c r="D672" s="2" t="s">
        <v>22</v>
      </c>
      <c r="E672" s="16" t="s">
        <v>14</v>
      </c>
      <c r="F672" s="2">
        <v>1158</v>
      </c>
      <c r="G672" s="2">
        <v>3</v>
      </c>
      <c r="H672" s="2">
        <f t="shared" si="40"/>
        <v>23</v>
      </c>
      <c r="I672" s="2">
        <f t="shared" si="41"/>
        <v>26634</v>
      </c>
      <c r="J672" s="16">
        <f t="shared" si="42"/>
        <v>1331.7</v>
      </c>
      <c r="K672" s="2">
        <f t="shared" si="43"/>
        <v>25302.3</v>
      </c>
    </row>
    <row r="673" spans="1:11" ht="16.5" x14ac:dyDescent="0.3">
      <c r="A673" s="4">
        <v>42826</v>
      </c>
      <c r="B673" s="2" t="s">
        <v>31</v>
      </c>
      <c r="C673" s="2" t="s">
        <v>12</v>
      </c>
      <c r="D673" s="2" t="s">
        <v>30</v>
      </c>
      <c r="E673" s="16" t="s">
        <v>14</v>
      </c>
      <c r="F673" s="2">
        <v>1614</v>
      </c>
      <c r="G673" s="2">
        <v>6</v>
      </c>
      <c r="H673" s="2">
        <f t="shared" si="40"/>
        <v>26</v>
      </c>
      <c r="I673" s="2">
        <f t="shared" si="41"/>
        <v>41964</v>
      </c>
      <c r="J673" s="16">
        <f t="shared" si="42"/>
        <v>2098.2000000000003</v>
      </c>
      <c r="K673" s="2">
        <f t="shared" si="43"/>
        <v>39865.800000000003</v>
      </c>
    </row>
    <row r="674" spans="1:11" ht="16.5" x14ac:dyDescent="0.3">
      <c r="A674" s="4">
        <v>42826</v>
      </c>
      <c r="B674" s="2" t="s">
        <v>31</v>
      </c>
      <c r="C674" s="2" t="s">
        <v>23</v>
      </c>
      <c r="D674" s="2" t="s">
        <v>36</v>
      </c>
      <c r="E674" s="16" t="s">
        <v>21</v>
      </c>
      <c r="F674" s="2">
        <v>2535</v>
      </c>
      <c r="G674" s="2">
        <v>10</v>
      </c>
      <c r="H674" s="2">
        <f t="shared" si="40"/>
        <v>13</v>
      </c>
      <c r="I674" s="2">
        <f t="shared" si="41"/>
        <v>32955</v>
      </c>
      <c r="J674" s="16">
        <f t="shared" si="42"/>
        <v>1647.75</v>
      </c>
      <c r="K674" s="2">
        <f t="shared" si="43"/>
        <v>31307.25</v>
      </c>
    </row>
    <row r="675" spans="1:11" ht="16.5" x14ac:dyDescent="0.3">
      <c r="A675" s="4">
        <v>42856</v>
      </c>
      <c r="B675" s="2" t="s">
        <v>37</v>
      </c>
      <c r="C675" s="2" t="s">
        <v>23</v>
      </c>
      <c r="D675" s="2" t="s">
        <v>28</v>
      </c>
      <c r="E675" s="16" t="s">
        <v>21</v>
      </c>
      <c r="F675" s="2">
        <v>2851</v>
      </c>
      <c r="G675" s="2">
        <v>120</v>
      </c>
      <c r="H675" s="2">
        <f t="shared" si="40"/>
        <v>123</v>
      </c>
      <c r="I675" s="2">
        <f t="shared" si="41"/>
        <v>350673</v>
      </c>
      <c r="J675" s="16">
        <f t="shared" si="42"/>
        <v>17533.650000000001</v>
      </c>
      <c r="K675" s="2">
        <f t="shared" si="43"/>
        <v>333139.34999999998</v>
      </c>
    </row>
    <row r="676" spans="1:11" ht="16.5" x14ac:dyDescent="0.3">
      <c r="A676" s="4">
        <v>42948</v>
      </c>
      <c r="B676" s="2" t="s">
        <v>32</v>
      </c>
      <c r="C676" s="2" t="s">
        <v>12</v>
      </c>
      <c r="D676" s="2" t="s">
        <v>29</v>
      </c>
      <c r="E676" s="16" t="s">
        <v>17</v>
      </c>
      <c r="F676" s="2">
        <v>2559</v>
      </c>
      <c r="G676" s="2">
        <v>40</v>
      </c>
      <c r="H676" s="2">
        <f t="shared" si="40"/>
        <v>55</v>
      </c>
      <c r="I676" s="2">
        <f t="shared" si="41"/>
        <v>140745</v>
      </c>
      <c r="J676" s="16">
        <f t="shared" si="42"/>
        <v>7037.25</v>
      </c>
      <c r="K676" s="2">
        <f t="shared" si="43"/>
        <v>133707.75</v>
      </c>
    </row>
    <row r="677" spans="1:11" ht="16.5" x14ac:dyDescent="0.3">
      <c r="A677" s="4">
        <v>43009</v>
      </c>
      <c r="B677" s="2" t="s">
        <v>11</v>
      </c>
      <c r="C677" s="2" t="s">
        <v>34</v>
      </c>
      <c r="D677" s="2" t="s">
        <v>20</v>
      </c>
      <c r="E677" s="16" t="s">
        <v>17</v>
      </c>
      <c r="F677" s="2">
        <v>267</v>
      </c>
      <c r="G677" s="2">
        <v>5</v>
      </c>
      <c r="H677" s="2">
        <f t="shared" si="40"/>
        <v>20</v>
      </c>
      <c r="I677" s="2">
        <f t="shared" si="41"/>
        <v>5340</v>
      </c>
      <c r="J677" s="16">
        <f t="shared" si="42"/>
        <v>267</v>
      </c>
      <c r="K677" s="2">
        <f t="shared" si="43"/>
        <v>5073</v>
      </c>
    </row>
    <row r="678" spans="1:11" ht="16.5" x14ac:dyDescent="0.3">
      <c r="A678" s="4">
        <v>43009</v>
      </c>
      <c r="B678" s="2" t="s">
        <v>11</v>
      </c>
      <c r="C678" s="2" t="s">
        <v>15</v>
      </c>
      <c r="D678" s="2" t="s">
        <v>26</v>
      </c>
      <c r="E678" s="16" t="s">
        <v>21</v>
      </c>
      <c r="F678" s="2">
        <v>1085</v>
      </c>
      <c r="G678" s="2">
        <v>2</v>
      </c>
      <c r="H678" s="2">
        <f t="shared" si="40"/>
        <v>5</v>
      </c>
      <c r="I678" s="2">
        <f t="shared" si="41"/>
        <v>5425</v>
      </c>
      <c r="J678" s="16">
        <f t="shared" si="42"/>
        <v>271.25</v>
      </c>
      <c r="K678" s="2">
        <f t="shared" si="43"/>
        <v>5153.75</v>
      </c>
    </row>
    <row r="679" spans="1:11" ht="16.5" x14ac:dyDescent="0.3">
      <c r="A679" s="4">
        <v>43009</v>
      </c>
      <c r="B679" s="2" t="s">
        <v>11</v>
      </c>
      <c r="C679" s="2" t="s">
        <v>15</v>
      </c>
      <c r="D679" s="2" t="s">
        <v>35</v>
      </c>
      <c r="E679" s="16" t="s">
        <v>21</v>
      </c>
      <c r="F679" s="2">
        <v>1175</v>
      </c>
      <c r="G679" s="2">
        <v>25</v>
      </c>
      <c r="H679" s="2">
        <f t="shared" si="40"/>
        <v>28</v>
      </c>
      <c r="I679" s="2">
        <f t="shared" si="41"/>
        <v>32900</v>
      </c>
      <c r="J679" s="16">
        <f t="shared" si="42"/>
        <v>1645</v>
      </c>
      <c r="K679" s="2">
        <f t="shared" si="43"/>
        <v>31255</v>
      </c>
    </row>
    <row r="680" spans="1:11" ht="16.5" x14ac:dyDescent="0.3">
      <c r="A680" s="4">
        <v>43040</v>
      </c>
      <c r="B680" s="2" t="s">
        <v>27</v>
      </c>
      <c r="C680" s="2" t="s">
        <v>34</v>
      </c>
      <c r="D680" s="2" t="s">
        <v>22</v>
      </c>
      <c r="E680" s="16" t="s">
        <v>21</v>
      </c>
      <c r="F680" s="2">
        <v>2007</v>
      </c>
      <c r="G680" s="2">
        <v>3</v>
      </c>
      <c r="H680" s="2">
        <f t="shared" si="40"/>
        <v>6</v>
      </c>
      <c r="I680" s="2">
        <f t="shared" si="41"/>
        <v>12042</v>
      </c>
      <c r="J680" s="16">
        <f t="shared" si="42"/>
        <v>602.1</v>
      </c>
      <c r="K680" s="2">
        <f t="shared" si="43"/>
        <v>11439.9</v>
      </c>
    </row>
    <row r="681" spans="1:11" ht="16.5" x14ac:dyDescent="0.3">
      <c r="A681" s="4">
        <v>43040</v>
      </c>
      <c r="B681" s="2" t="s">
        <v>27</v>
      </c>
      <c r="C681" s="2" t="s">
        <v>23</v>
      </c>
      <c r="D681" s="2" t="s">
        <v>16</v>
      </c>
      <c r="E681" s="16" t="s">
        <v>21</v>
      </c>
      <c r="F681" s="2">
        <v>2151</v>
      </c>
      <c r="G681" s="2">
        <v>4</v>
      </c>
      <c r="H681" s="2">
        <f t="shared" si="40"/>
        <v>7</v>
      </c>
      <c r="I681" s="2">
        <f t="shared" si="41"/>
        <v>15057</v>
      </c>
      <c r="J681" s="16">
        <f t="shared" si="42"/>
        <v>752.85</v>
      </c>
      <c r="K681" s="2">
        <f t="shared" si="43"/>
        <v>14304.15</v>
      </c>
    </row>
    <row r="682" spans="1:11" ht="16.5" x14ac:dyDescent="0.3">
      <c r="A682" s="4">
        <v>43070</v>
      </c>
      <c r="B682" s="2" t="s">
        <v>25</v>
      </c>
      <c r="C682" s="2" t="s">
        <v>34</v>
      </c>
      <c r="D682" s="2" t="s">
        <v>13</v>
      </c>
      <c r="E682" s="16" t="s">
        <v>24</v>
      </c>
      <c r="F682" s="2">
        <v>914</v>
      </c>
      <c r="G682" s="2">
        <v>30</v>
      </c>
      <c r="H682" s="2">
        <f t="shared" si="40"/>
        <v>40</v>
      </c>
      <c r="I682" s="2">
        <f t="shared" si="41"/>
        <v>36560</v>
      </c>
      <c r="J682" s="16">
        <f t="shared" si="42"/>
        <v>1828</v>
      </c>
      <c r="K682" s="2">
        <f t="shared" si="43"/>
        <v>34732</v>
      </c>
    </row>
    <row r="683" spans="1:11" ht="16.5" x14ac:dyDescent="0.3">
      <c r="A683" s="4">
        <v>43070</v>
      </c>
      <c r="B683" s="2" t="s">
        <v>25</v>
      </c>
      <c r="C683" s="2" t="s">
        <v>19</v>
      </c>
      <c r="D683" s="2" t="s">
        <v>28</v>
      </c>
      <c r="E683" s="16" t="s">
        <v>14</v>
      </c>
      <c r="F683" s="2">
        <v>293</v>
      </c>
      <c r="G683" s="2">
        <v>120</v>
      </c>
      <c r="H683" s="2">
        <f t="shared" si="40"/>
        <v>140</v>
      </c>
      <c r="I683" s="2">
        <f t="shared" si="41"/>
        <v>41020</v>
      </c>
      <c r="J683" s="16">
        <f t="shared" si="42"/>
        <v>2051</v>
      </c>
      <c r="K683" s="2">
        <f t="shared" si="43"/>
        <v>38969</v>
      </c>
    </row>
    <row r="684" spans="1:11" ht="16.5" x14ac:dyDescent="0.3">
      <c r="A684" s="4">
        <v>42795</v>
      </c>
      <c r="B684" s="2" t="s">
        <v>27</v>
      </c>
      <c r="C684" s="2" t="s">
        <v>23</v>
      </c>
      <c r="D684" s="2" t="s">
        <v>20</v>
      </c>
      <c r="E684" s="16" t="s">
        <v>14</v>
      </c>
      <c r="F684" s="2">
        <v>500</v>
      </c>
      <c r="G684" s="2">
        <v>5</v>
      </c>
      <c r="H684" s="2">
        <f t="shared" si="40"/>
        <v>25</v>
      </c>
      <c r="I684" s="2">
        <f t="shared" si="41"/>
        <v>12500</v>
      </c>
      <c r="J684" s="16">
        <f t="shared" si="42"/>
        <v>625</v>
      </c>
      <c r="K684" s="2">
        <f t="shared" si="43"/>
        <v>11875</v>
      </c>
    </row>
    <row r="685" spans="1:11" ht="16.5" x14ac:dyDescent="0.3">
      <c r="A685" s="4">
        <v>42856</v>
      </c>
      <c r="B685" s="2" t="s">
        <v>37</v>
      </c>
      <c r="C685" s="2" t="s">
        <v>19</v>
      </c>
      <c r="D685" s="2" t="s">
        <v>26</v>
      </c>
      <c r="E685" s="16" t="s">
        <v>21</v>
      </c>
      <c r="F685" s="2">
        <v>2826</v>
      </c>
      <c r="G685" s="2">
        <v>2</v>
      </c>
      <c r="H685" s="2">
        <f t="shared" si="40"/>
        <v>5</v>
      </c>
      <c r="I685" s="2">
        <f t="shared" si="41"/>
        <v>14130</v>
      </c>
      <c r="J685" s="16">
        <f t="shared" si="42"/>
        <v>706.5</v>
      </c>
      <c r="K685" s="2">
        <f t="shared" si="43"/>
        <v>13423.5</v>
      </c>
    </row>
    <row r="686" spans="1:11" ht="16.5" x14ac:dyDescent="0.3">
      <c r="A686" s="4">
        <v>42979</v>
      </c>
      <c r="B686" s="2" t="s">
        <v>25</v>
      </c>
      <c r="C686" s="2" t="s">
        <v>19</v>
      </c>
      <c r="D686" s="2" t="s">
        <v>29</v>
      </c>
      <c r="E686" s="16" t="s">
        <v>21</v>
      </c>
      <c r="F686" s="2">
        <v>663</v>
      </c>
      <c r="G686" s="2">
        <v>40</v>
      </c>
      <c r="H686" s="2">
        <f t="shared" si="40"/>
        <v>43</v>
      </c>
      <c r="I686" s="2">
        <f t="shared" si="41"/>
        <v>28509</v>
      </c>
      <c r="J686" s="16">
        <f t="shared" si="42"/>
        <v>1425.45</v>
      </c>
      <c r="K686" s="2">
        <f t="shared" si="43"/>
        <v>27083.55</v>
      </c>
    </row>
    <row r="687" spans="1:11" ht="16.5" x14ac:dyDescent="0.3">
      <c r="A687" s="4">
        <v>43040</v>
      </c>
      <c r="B687" s="2" t="s">
        <v>27</v>
      </c>
      <c r="C687" s="2" t="s">
        <v>34</v>
      </c>
      <c r="D687" s="2" t="s">
        <v>20</v>
      </c>
      <c r="E687" s="16" t="s">
        <v>17</v>
      </c>
      <c r="F687" s="2">
        <v>2574</v>
      </c>
      <c r="G687" s="2">
        <v>5</v>
      </c>
      <c r="H687" s="2">
        <f t="shared" si="40"/>
        <v>20</v>
      </c>
      <c r="I687" s="2">
        <f t="shared" si="41"/>
        <v>51480</v>
      </c>
      <c r="J687" s="16">
        <f t="shared" si="42"/>
        <v>2574</v>
      </c>
      <c r="K687" s="2">
        <f t="shared" si="43"/>
        <v>48906</v>
      </c>
    </row>
    <row r="688" spans="1:11" ht="16.5" x14ac:dyDescent="0.3">
      <c r="A688" s="4">
        <v>43070</v>
      </c>
      <c r="B688" s="2" t="s">
        <v>25</v>
      </c>
      <c r="C688" s="2" t="s">
        <v>34</v>
      </c>
      <c r="D688" s="2" t="s">
        <v>16</v>
      </c>
      <c r="E688" s="16" t="s">
        <v>17</v>
      </c>
      <c r="F688" s="2">
        <v>2438</v>
      </c>
      <c r="G688" s="2">
        <v>4</v>
      </c>
      <c r="H688" s="2">
        <f t="shared" si="40"/>
        <v>19</v>
      </c>
      <c r="I688" s="2">
        <f t="shared" si="41"/>
        <v>46322</v>
      </c>
      <c r="J688" s="16">
        <f t="shared" si="42"/>
        <v>2316.1</v>
      </c>
      <c r="K688" s="2">
        <f t="shared" si="43"/>
        <v>44005.9</v>
      </c>
    </row>
    <row r="689" spans="1:11" ht="16.5" x14ac:dyDescent="0.3">
      <c r="A689" s="4">
        <v>43070</v>
      </c>
      <c r="B689" s="2" t="s">
        <v>25</v>
      </c>
      <c r="C689" s="2" t="s">
        <v>34</v>
      </c>
      <c r="D689" s="2" t="s">
        <v>35</v>
      </c>
      <c r="E689" s="16" t="s">
        <v>21</v>
      </c>
      <c r="F689" s="2">
        <v>914</v>
      </c>
      <c r="G689" s="2">
        <v>25</v>
      </c>
      <c r="H689" s="2">
        <f t="shared" si="40"/>
        <v>28</v>
      </c>
      <c r="I689" s="2">
        <f t="shared" si="41"/>
        <v>25592</v>
      </c>
      <c r="J689" s="16">
        <f t="shared" si="42"/>
        <v>1279.6000000000001</v>
      </c>
      <c r="K689" s="2">
        <f t="shared" si="43"/>
        <v>24312.400000000001</v>
      </c>
    </row>
    <row r="690" spans="1:11" ht="16.5" x14ac:dyDescent="0.3">
      <c r="A690" s="4">
        <v>42917</v>
      </c>
      <c r="B690" s="2" t="s">
        <v>31</v>
      </c>
      <c r="C690" s="2" t="s">
        <v>12</v>
      </c>
      <c r="D690" s="2" t="s">
        <v>33</v>
      </c>
      <c r="E690" s="16" t="s">
        <v>21</v>
      </c>
      <c r="F690" s="2">
        <v>865.5</v>
      </c>
      <c r="G690" s="2">
        <v>20</v>
      </c>
      <c r="H690" s="2">
        <f t="shared" si="40"/>
        <v>23</v>
      </c>
      <c r="I690" s="2">
        <f t="shared" si="41"/>
        <v>19906.5</v>
      </c>
      <c r="J690" s="16">
        <f t="shared" si="42"/>
        <v>995.32500000000005</v>
      </c>
      <c r="K690" s="2">
        <f t="shared" si="43"/>
        <v>18911.174999999999</v>
      </c>
    </row>
    <row r="691" spans="1:11" ht="16.5" x14ac:dyDescent="0.3">
      <c r="A691" s="4">
        <v>42917</v>
      </c>
      <c r="B691" s="2" t="s">
        <v>31</v>
      </c>
      <c r="C691" s="2" t="s">
        <v>15</v>
      </c>
      <c r="D691" s="2" t="s">
        <v>36</v>
      </c>
      <c r="E691" s="16" t="s">
        <v>21</v>
      </c>
      <c r="F691" s="2">
        <v>492</v>
      </c>
      <c r="G691" s="2">
        <v>10</v>
      </c>
      <c r="H691" s="2">
        <f t="shared" si="40"/>
        <v>13</v>
      </c>
      <c r="I691" s="2">
        <f t="shared" si="41"/>
        <v>6396</v>
      </c>
      <c r="J691" s="16">
        <f t="shared" si="42"/>
        <v>319.8</v>
      </c>
      <c r="K691" s="2">
        <f t="shared" si="43"/>
        <v>6076.2</v>
      </c>
    </row>
    <row r="692" spans="1:11" ht="16.5" x14ac:dyDescent="0.3">
      <c r="A692" s="4">
        <v>43009</v>
      </c>
      <c r="B692" s="2" t="s">
        <v>11</v>
      </c>
      <c r="C692" s="2" t="s">
        <v>34</v>
      </c>
      <c r="D692" s="2" t="s">
        <v>26</v>
      </c>
      <c r="E692" s="16" t="s">
        <v>24</v>
      </c>
      <c r="F692" s="2">
        <v>267</v>
      </c>
      <c r="G692" s="2">
        <v>2</v>
      </c>
      <c r="H692" s="2">
        <f t="shared" si="40"/>
        <v>12</v>
      </c>
      <c r="I692" s="2">
        <f t="shared" si="41"/>
        <v>3204</v>
      </c>
      <c r="J692" s="16">
        <f t="shared" si="42"/>
        <v>160.20000000000002</v>
      </c>
      <c r="K692" s="2">
        <f t="shared" si="43"/>
        <v>3043.8</v>
      </c>
    </row>
    <row r="693" spans="1:11" ht="16.5" x14ac:dyDescent="0.3">
      <c r="A693" s="4">
        <v>43009</v>
      </c>
      <c r="B693" s="2" t="s">
        <v>11</v>
      </c>
      <c r="C693" s="2" t="s">
        <v>15</v>
      </c>
      <c r="D693" s="2" t="s">
        <v>16</v>
      </c>
      <c r="E693" s="16" t="s">
        <v>14</v>
      </c>
      <c r="F693" s="2">
        <v>1175</v>
      </c>
      <c r="G693" s="2">
        <v>4</v>
      </c>
      <c r="H693" s="2">
        <f t="shared" si="40"/>
        <v>24</v>
      </c>
      <c r="I693" s="2">
        <f t="shared" si="41"/>
        <v>28200</v>
      </c>
      <c r="J693" s="16">
        <f t="shared" si="42"/>
        <v>1410</v>
      </c>
      <c r="K693" s="2">
        <f t="shared" si="43"/>
        <v>26790</v>
      </c>
    </row>
    <row r="694" spans="1:11" ht="16.5" x14ac:dyDescent="0.3">
      <c r="A694" s="4">
        <v>43040</v>
      </c>
      <c r="B694" s="2" t="s">
        <v>27</v>
      </c>
      <c r="C694" s="2" t="s">
        <v>12</v>
      </c>
      <c r="D694" s="2" t="s">
        <v>28</v>
      </c>
      <c r="E694" s="16" t="s">
        <v>14</v>
      </c>
      <c r="F694" s="2">
        <v>2954</v>
      </c>
      <c r="G694" s="2">
        <v>120</v>
      </c>
      <c r="H694" s="2">
        <f t="shared" si="40"/>
        <v>140</v>
      </c>
      <c r="I694" s="2">
        <f t="shared" si="41"/>
        <v>413560</v>
      </c>
      <c r="J694" s="16">
        <f t="shared" si="42"/>
        <v>20678</v>
      </c>
      <c r="K694" s="2">
        <f t="shared" si="43"/>
        <v>392882</v>
      </c>
    </row>
    <row r="695" spans="1:11" ht="16.5" x14ac:dyDescent="0.3">
      <c r="A695" s="4">
        <v>43040</v>
      </c>
      <c r="B695" s="2" t="s">
        <v>27</v>
      </c>
      <c r="C695" s="2" t="s">
        <v>15</v>
      </c>
      <c r="D695" s="2" t="s">
        <v>36</v>
      </c>
      <c r="E695" s="16" t="s">
        <v>21</v>
      </c>
      <c r="F695" s="2">
        <v>552</v>
      </c>
      <c r="G695" s="2">
        <v>10</v>
      </c>
      <c r="H695" s="2">
        <f t="shared" si="40"/>
        <v>13</v>
      </c>
      <c r="I695" s="2">
        <f t="shared" si="41"/>
        <v>7176</v>
      </c>
      <c r="J695" s="16">
        <f t="shared" si="42"/>
        <v>358.8</v>
      </c>
      <c r="K695" s="2">
        <f t="shared" si="43"/>
        <v>6817.2</v>
      </c>
    </row>
    <row r="696" spans="1:11" ht="16.5" x14ac:dyDescent="0.3">
      <c r="A696" s="4">
        <v>43070</v>
      </c>
      <c r="B696" s="2" t="s">
        <v>25</v>
      </c>
      <c r="C696" s="2" t="s">
        <v>19</v>
      </c>
      <c r="D696" s="2" t="s">
        <v>35</v>
      </c>
      <c r="E696" s="16" t="s">
        <v>21</v>
      </c>
      <c r="F696" s="2">
        <v>293</v>
      </c>
      <c r="G696" s="2">
        <v>25</v>
      </c>
      <c r="H696" s="2">
        <f t="shared" si="40"/>
        <v>28</v>
      </c>
      <c r="I696" s="2">
        <f t="shared" si="41"/>
        <v>8204</v>
      </c>
      <c r="J696" s="16">
        <f t="shared" si="42"/>
        <v>410.20000000000005</v>
      </c>
      <c r="K696" s="2">
        <f t="shared" si="43"/>
        <v>7793.8</v>
      </c>
    </row>
    <row r="697" spans="1:11" ht="16.5" x14ac:dyDescent="0.3">
      <c r="A697" s="4">
        <v>42795</v>
      </c>
      <c r="B697" s="2" t="s">
        <v>27</v>
      </c>
      <c r="C697" s="2" t="s">
        <v>19</v>
      </c>
      <c r="D697" s="2" t="s">
        <v>29</v>
      </c>
      <c r="E697" s="16" t="s">
        <v>17</v>
      </c>
      <c r="F697" s="2">
        <v>2475</v>
      </c>
      <c r="G697" s="2">
        <v>40</v>
      </c>
      <c r="H697" s="2">
        <f t="shared" si="40"/>
        <v>55</v>
      </c>
      <c r="I697" s="2">
        <f t="shared" si="41"/>
        <v>136125</v>
      </c>
      <c r="J697" s="16">
        <f t="shared" si="42"/>
        <v>6806.25</v>
      </c>
      <c r="K697" s="2">
        <f t="shared" si="43"/>
        <v>129318.75</v>
      </c>
    </row>
    <row r="698" spans="1:11" ht="16.5" x14ac:dyDescent="0.3">
      <c r="A698" s="4">
        <v>43009</v>
      </c>
      <c r="B698" s="2" t="s">
        <v>11</v>
      </c>
      <c r="C698" s="2" t="s">
        <v>23</v>
      </c>
      <c r="D698" s="2" t="s">
        <v>26</v>
      </c>
      <c r="E698" s="16" t="s">
        <v>17</v>
      </c>
      <c r="F698" s="2">
        <v>546</v>
      </c>
      <c r="G698" s="2">
        <v>2</v>
      </c>
      <c r="H698" s="2">
        <f t="shared" si="40"/>
        <v>17</v>
      </c>
      <c r="I698" s="2">
        <f t="shared" si="41"/>
        <v>9282</v>
      </c>
      <c r="J698" s="16">
        <f t="shared" si="42"/>
        <v>464.1</v>
      </c>
      <c r="K698" s="2">
        <f t="shared" si="43"/>
        <v>8817.9</v>
      </c>
    </row>
    <row r="699" spans="1:11" ht="16.5" x14ac:dyDescent="0.3">
      <c r="A699" s="4">
        <v>42767</v>
      </c>
      <c r="B699" s="2" t="s">
        <v>27</v>
      </c>
      <c r="C699" s="2" t="s">
        <v>23</v>
      </c>
      <c r="D699" s="2" t="s">
        <v>30</v>
      </c>
      <c r="E699" s="16" t="s">
        <v>21</v>
      </c>
      <c r="F699" s="2">
        <v>1368</v>
      </c>
      <c r="G699" s="2">
        <v>6</v>
      </c>
      <c r="H699" s="2">
        <f t="shared" si="40"/>
        <v>9</v>
      </c>
      <c r="I699" s="2">
        <f t="shared" si="41"/>
        <v>12312</v>
      </c>
      <c r="J699" s="16">
        <f t="shared" si="42"/>
        <v>615.6</v>
      </c>
      <c r="K699" s="2">
        <f t="shared" si="43"/>
        <v>11696.4</v>
      </c>
    </row>
    <row r="700" spans="1:11" ht="16.5" x14ac:dyDescent="0.3">
      <c r="A700" s="4">
        <v>42826</v>
      </c>
      <c r="B700" s="2" t="s">
        <v>31</v>
      </c>
      <c r="C700" s="2" t="s">
        <v>12</v>
      </c>
      <c r="D700" s="2" t="s">
        <v>35</v>
      </c>
      <c r="E700" s="16" t="s">
        <v>21</v>
      </c>
      <c r="F700" s="2">
        <v>723</v>
      </c>
      <c r="G700" s="2">
        <v>25</v>
      </c>
      <c r="H700" s="2">
        <f t="shared" si="40"/>
        <v>28</v>
      </c>
      <c r="I700" s="2">
        <f t="shared" si="41"/>
        <v>20244</v>
      </c>
      <c r="J700" s="16">
        <f t="shared" si="42"/>
        <v>1012.2</v>
      </c>
      <c r="K700" s="2">
        <f t="shared" si="43"/>
        <v>19231.8</v>
      </c>
    </row>
    <row r="701" spans="1:11" ht="16.5" x14ac:dyDescent="0.3">
      <c r="A701" s="4">
        <v>42856</v>
      </c>
      <c r="B701" s="2" t="s">
        <v>37</v>
      </c>
      <c r="C701" s="2" t="s">
        <v>34</v>
      </c>
      <c r="D701" s="2" t="s">
        <v>16</v>
      </c>
      <c r="E701" s="16" t="s">
        <v>21</v>
      </c>
      <c r="F701" s="2">
        <v>1806</v>
      </c>
      <c r="G701" s="2">
        <v>4</v>
      </c>
      <c r="H701" s="2">
        <f t="shared" si="40"/>
        <v>7</v>
      </c>
      <c r="I701" s="2">
        <f t="shared" si="41"/>
        <v>12642</v>
      </c>
      <c r="J701" s="16">
        <f t="shared" si="42"/>
        <v>632.1</v>
      </c>
      <c r="K701" s="2">
        <f t="shared" si="43"/>
        <v>12009.9</v>
      </c>
    </row>
  </sheetData>
  <mergeCells count="10">
    <mergeCell ref="N17:Q17"/>
    <mergeCell ref="N18:Q18"/>
    <mergeCell ref="N19:Q19"/>
    <mergeCell ref="N20:Q20"/>
    <mergeCell ref="O5:P5"/>
    <mergeCell ref="O6:P6"/>
    <mergeCell ref="O7:P7"/>
    <mergeCell ref="M8:N8"/>
    <mergeCell ref="O8:P8"/>
    <mergeCell ref="N16:Q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Database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shivambhatt00242@gmail.com</cp:lastModifiedBy>
  <dcterms:created xsi:type="dcterms:W3CDTF">2018-06-30T12:32:54Z</dcterms:created>
  <dcterms:modified xsi:type="dcterms:W3CDTF">2025-12-18T15:36:51Z</dcterms:modified>
</cp:coreProperties>
</file>